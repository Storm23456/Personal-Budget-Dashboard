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3A8C2959-8C7C-45AA-ABC1-6CA6CAFEAE91}" xr6:coauthVersionLast="47" xr6:coauthVersionMax="47" xr10:uidLastSave="{00000000-0000-0000-0000-000000000000}"/>
  <bookViews>
    <workbookView xWindow="-110" yWindow="-110" windowWidth="38620" windowHeight="21820" firstSheet="1" activeTab="3" xr2:uid="{171E3D5E-220C-4B97-8F5E-886A3A567284}"/>
  </bookViews>
  <sheets>
    <sheet name="Settings" sheetId="1" state="hidden" r:id="rId1"/>
    <sheet name="Budget Planning" sheetId="2" r:id="rId2"/>
    <sheet name="Budget Tracking" sheetId="3" r:id="rId3"/>
    <sheet name="Budget dashboard" sheetId="5" r:id="rId4"/>
    <sheet name="Calculations" sheetId="4" r:id="rId5"/>
    <sheet name="Dropdown Data" sheetId="6" state="hidden" r:id="rId6"/>
  </sheets>
  <definedNames>
    <definedName name="budget" localSheetId="3">'Budget dashboard'!$L1</definedName>
    <definedName name="budget_range" localSheetId="3">'Budget dashboard'!$Q1</definedName>
    <definedName name="budget_rank" localSheetId="3">'Budget dashboard'!$R1</definedName>
    <definedName name="cc_budget" localSheetId="4">Calculations!$K1</definedName>
    <definedName name="cc_delta" localSheetId="4">Calculations!$L1</definedName>
    <definedName name="cc_in_focus" localSheetId="4">Calculations!$G1</definedName>
    <definedName name="cc_month_number" localSheetId="4">Calculations!$F1</definedName>
    <definedName name="cc_show_rem_budget" localSheetId="4">Calculations!$I1</definedName>
    <definedName name="cc_show_type" localSheetId="4">Calculations!$H1</definedName>
    <definedName name="cc_tracked" localSheetId="4">Calculations!$J1</definedName>
    <definedName name="cc_type" localSheetId="4">Calculations!$E1</definedName>
    <definedName name="comb_rank" localSheetId="3">'Budget dashboard'!$S1</definedName>
    <definedName name="comb_rank_norm" localSheetId="3">'Budget dashboard'!$U1</definedName>
    <definedName name="comb_rank_norm_run_range" localSheetId="3">'Budget dashboard'!$V1</definedName>
    <definedName name="comb_rank_range" localSheetId="3">'Budget dashboard'!$T1</definedName>
    <definedName name="comb_rank_unique" localSheetId="3">'Budget dashboard'!$W1</definedName>
    <definedName name="current_date">TODAY()</definedName>
    <definedName name="expenses_header_row">ROW(Expenses[[#Headers],[Expenses]])</definedName>
    <definedName name="expenses_max_row">MAX(ROW(Expenses[]))</definedName>
    <definedName name="expenses_min_row">MIN(ROW(Expenses[]))</definedName>
    <definedName name="expenses_total_row">ROW('Budget Planning'!$C$30)</definedName>
    <definedName name="header_row_id" localSheetId="3">'Budget dashboard'!$D1</definedName>
    <definedName name="income_header_row">ROW(Income[[#Headers],[Income]])</definedName>
    <definedName name="income_max_row">MAX(ROW(Income[]))</definedName>
    <definedName name="income_min_row">MIN(ROW(Income[]))</definedName>
    <definedName name="income_total_row">ROW('Budget Planning'!$C$20)</definedName>
    <definedName name="is_cat" localSheetId="3">'Budget dashboard'!$F1</definedName>
    <definedName name="is_empty" localSheetId="3">'Budget dashboard'!$H1</definedName>
    <definedName name="is_header" localSheetId="3">'Budget dashboard'!$E1</definedName>
    <definedName name="is_total" localSheetId="3">'Budget dashboard'!$G1</definedName>
    <definedName name="item" localSheetId="3">'Budget dashboard'!$J1</definedName>
    <definedName name="left_money_loan">#REF!</definedName>
    <definedName name="loan_amount">#REF!</definedName>
    <definedName name="out_budget" localSheetId="3">'Budget dashboard'!$AA1</definedName>
    <definedName name="out_percentage_completed" localSheetId="3">'Budget dashboard'!$AB1</definedName>
    <definedName name="out_tracked" localSheetId="3">'Budget dashboard'!$Z1</definedName>
    <definedName name="row_id" localSheetId="3">'Budget dashboard'!$C1</definedName>
    <definedName name="savings_header_row">ROW(Savings[[#Headers],[Savings]])</definedName>
    <definedName name="savings_max_row">MAX(ROW(Savings[]))</definedName>
    <definedName name="savings_min_row">MIN(ROW(Savings[]))</definedName>
    <definedName name="savings_rate_calculation_type">Settings!$E$22</definedName>
    <definedName name="savings_total_row">ROW('Budget Planning'!$C$43)</definedName>
    <definedName name="selected_period">Calculations!$E$20</definedName>
    <definedName name="selected_period_display">Calculations!$E$21</definedName>
    <definedName name="selected_year">Calculations!$E$19</definedName>
    <definedName name="Shift_late_income_status">Settings!$E$16</definedName>
    <definedName name="Shift_late_starting_day">Settings!$E$18</definedName>
    <definedName name="sort_max_row" localSheetId="3">'Budget dashboard'!$N1</definedName>
    <definedName name="sort_min_row" localSheetId="3">'Budget dashboard'!$M1</definedName>
    <definedName name="starting_year">Settings!$E$8</definedName>
    <definedName name="tracked" localSheetId="3">'Budget dashboard'!$K1</definedName>
    <definedName name="tracked_range" localSheetId="3">'Budget dashboard'!$O1</definedName>
    <definedName name="tracked_rank" localSheetId="3">'Budget dashboard'!$P1</definedName>
    <definedName name="type" localSheetId="3">'Budget dashboard'!$I1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3" i="3" l="1" a="1"/>
  <c r="H263" i="3" s="1"/>
  <c r="H264" i="3" a="1"/>
  <c r="H264" i="3" s="1"/>
  <c r="H265" i="3" a="1"/>
  <c r="H265" i="3" s="1"/>
  <c r="H266" i="3" a="1"/>
  <c r="H266" i="3" s="1"/>
  <c r="H267" i="3" a="1"/>
  <c r="H267" i="3" s="1"/>
  <c r="H268" i="3" a="1"/>
  <c r="H268" i="3" s="1"/>
  <c r="H269" i="3" a="1"/>
  <c r="H269" i="3" s="1"/>
  <c r="H270" i="3" a="1"/>
  <c r="H270" i="3" s="1"/>
  <c r="H271" i="3" a="1"/>
  <c r="H271" i="3" s="1"/>
  <c r="H272" i="3" a="1"/>
  <c r="H272" i="3" s="1"/>
  <c r="H273" i="3" a="1"/>
  <c r="H273" i="3" s="1"/>
  <c r="H274" i="3" a="1"/>
  <c r="H274" i="3" s="1"/>
  <c r="H275" i="3" a="1"/>
  <c r="H275" i="3" s="1"/>
  <c r="H276" i="3" a="1"/>
  <c r="H276" i="3" s="1"/>
  <c r="H277" i="3" a="1"/>
  <c r="H277" i="3" s="1"/>
  <c r="H278" i="3" a="1"/>
  <c r="H278" i="3" s="1"/>
  <c r="H279" i="3" a="1"/>
  <c r="H279" i="3" s="1"/>
  <c r="H280" i="3" a="1"/>
  <c r="H280" i="3" s="1"/>
  <c r="H281" i="3" a="1"/>
  <c r="H281" i="3" s="1"/>
  <c r="H282" i="3" a="1"/>
  <c r="H282" i="3" s="1"/>
  <c r="H283" i="3" a="1"/>
  <c r="H283" i="3" s="1"/>
  <c r="H284" i="3" a="1"/>
  <c r="H284" i="3" s="1"/>
  <c r="H285" i="3" a="1"/>
  <c r="H285" i="3" s="1"/>
  <c r="H286" i="3" a="1"/>
  <c r="H286" i="3" s="1"/>
  <c r="H287" i="3" a="1"/>
  <c r="H287" i="3" s="1"/>
  <c r="H288" i="3" a="1"/>
  <c r="H288" i="3" s="1"/>
  <c r="H289" i="3" a="1"/>
  <c r="H289" i="3" s="1"/>
  <c r="H290" i="3" a="1"/>
  <c r="H290" i="3" s="1"/>
  <c r="H291" i="3" a="1"/>
  <c r="H291" i="3" s="1"/>
  <c r="H292" i="3" a="1"/>
  <c r="H292" i="3" s="1"/>
  <c r="H293" i="3" a="1"/>
  <c r="H293" i="3" s="1"/>
  <c r="H294" i="3" a="1"/>
  <c r="H294" i="3" s="1"/>
  <c r="H295" i="3" a="1"/>
  <c r="H295" i="3" s="1"/>
  <c r="H296" i="3" a="1"/>
  <c r="H296" i="3" s="1"/>
  <c r="H297" i="3" a="1"/>
  <c r="H297" i="3" s="1"/>
  <c r="H298" i="3" a="1"/>
  <c r="H298" i="3" s="1"/>
  <c r="H299" i="3" a="1"/>
  <c r="H299" i="3" s="1"/>
  <c r="H300" i="3" a="1"/>
  <c r="H300" i="3" s="1"/>
  <c r="H301" i="3" a="1"/>
  <c r="H301" i="3" s="1"/>
  <c r="H302" i="3" a="1"/>
  <c r="H302" i="3" s="1"/>
  <c r="H303" i="3" a="1"/>
  <c r="H303" i="3" s="1"/>
  <c r="H304" i="3" a="1"/>
  <c r="H304" i="3" s="1"/>
  <c r="H305" i="3" a="1"/>
  <c r="H305" i="3" s="1"/>
  <c r="H306" i="3" a="1"/>
  <c r="H306" i="3" s="1"/>
  <c r="H307" i="3" a="1"/>
  <c r="H307" i="3" s="1"/>
  <c r="H308" i="3" a="1"/>
  <c r="H308" i="3" s="1"/>
  <c r="H309" i="3" a="1"/>
  <c r="H309" i="3" s="1"/>
  <c r="H310" i="3" a="1"/>
  <c r="H310" i="3" s="1"/>
  <c r="H311" i="3" a="1"/>
  <c r="H311" i="3" s="1"/>
  <c r="H312" i="3" a="1"/>
  <c r="H312" i="3" s="1"/>
  <c r="H313" i="3" a="1"/>
  <c r="H313" i="3" s="1"/>
  <c r="H314" i="3" a="1"/>
  <c r="H314" i="3" s="1"/>
  <c r="H315" i="3" a="1"/>
  <c r="H315" i="3" s="1"/>
  <c r="H316" i="3" a="1"/>
  <c r="H316" i="3" s="1"/>
  <c r="H317" i="3" a="1"/>
  <c r="H317" i="3" s="1"/>
  <c r="H318" i="3" a="1"/>
  <c r="H318" i="3" s="1"/>
  <c r="H319" i="3" a="1"/>
  <c r="H319" i="3" s="1"/>
  <c r="H320" i="3" a="1"/>
  <c r="H320" i="3" s="1"/>
  <c r="H321" i="3" a="1"/>
  <c r="H321" i="3" s="1"/>
  <c r="H322" i="3" a="1"/>
  <c r="H322" i="3" s="1"/>
  <c r="H323" i="3" a="1"/>
  <c r="H323" i="3" s="1"/>
  <c r="H324" i="3" a="1"/>
  <c r="H324" i="3" s="1"/>
  <c r="H325" i="3" a="1"/>
  <c r="H325" i="3" s="1"/>
  <c r="H326" i="3" a="1"/>
  <c r="H326" i="3" s="1"/>
  <c r="H327" i="3" a="1"/>
  <c r="H327" i="3" s="1"/>
  <c r="H328" i="3" a="1"/>
  <c r="H328" i="3" s="1"/>
  <c r="H329" i="3" a="1"/>
  <c r="H329" i="3" s="1"/>
  <c r="H330" i="3" a="1"/>
  <c r="H330" i="3" s="1"/>
  <c r="H331" i="3" a="1"/>
  <c r="H331" i="3" s="1"/>
  <c r="H332" i="3" a="1"/>
  <c r="H332" i="3" s="1"/>
  <c r="H333" i="3" a="1"/>
  <c r="H333" i="3" s="1"/>
  <c r="H334" i="3" a="1"/>
  <c r="H334" i="3" s="1"/>
  <c r="H335" i="3" a="1"/>
  <c r="H335" i="3" s="1"/>
  <c r="H336" i="3" a="1"/>
  <c r="H336" i="3" s="1"/>
  <c r="H337" i="3" a="1"/>
  <c r="H337" i="3" s="1"/>
  <c r="H338" i="3" a="1"/>
  <c r="H338" i="3" s="1"/>
  <c r="H339" i="3" a="1"/>
  <c r="H339" i="3" s="1"/>
  <c r="H340" i="3" a="1"/>
  <c r="H340" i="3" s="1"/>
  <c r="H341" i="3" a="1"/>
  <c r="H341" i="3" s="1"/>
  <c r="H342" i="3" a="1"/>
  <c r="H342" i="3" s="1"/>
  <c r="H343" i="3" a="1"/>
  <c r="H343" i="3" s="1"/>
  <c r="H344" i="3" a="1"/>
  <c r="H344" i="3" s="1"/>
  <c r="H345" i="3" a="1"/>
  <c r="H345" i="3" s="1"/>
  <c r="H346" i="3" a="1"/>
  <c r="H346" i="3" s="1"/>
  <c r="H347" i="3" a="1"/>
  <c r="H347" i="3" s="1"/>
  <c r="H348" i="3" a="1"/>
  <c r="H348" i="3" s="1"/>
  <c r="H349" i="3" a="1"/>
  <c r="H349" i="3" s="1"/>
  <c r="H350" i="3" a="1"/>
  <c r="H350" i="3" s="1"/>
  <c r="H351" i="3" a="1"/>
  <c r="H351" i="3" s="1"/>
  <c r="H352" i="3" a="1"/>
  <c r="H352" i="3" s="1"/>
  <c r="H353" i="3" a="1"/>
  <c r="H353" i="3" s="1"/>
  <c r="H354" i="3" a="1"/>
  <c r="H354" i="3" s="1"/>
  <c r="H355" i="3" a="1"/>
  <c r="H355" i="3" s="1"/>
  <c r="H356" i="3" a="1"/>
  <c r="H356" i="3" s="1"/>
  <c r="H357" i="3" a="1"/>
  <c r="H357" i="3" s="1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P32" i="2"/>
  <c r="O32" i="2"/>
  <c r="N32" i="2"/>
  <c r="M32" i="2"/>
  <c r="L32" i="2"/>
  <c r="K32" i="2"/>
  <c r="J32" i="2"/>
  <c r="I32" i="2"/>
  <c r="H32" i="2"/>
  <c r="G32" i="2"/>
  <c r="F32" i="2"/>
  <c r="E32" i="2"/>
  <c r="P22" i="2"/>
  <c r="O22" i="2"/>
  <c r="N22" i="2"/>
  <c r="M22" i="2"/>
  <c r="L22" i="2"/>
  <c r="K22" i="2"/>
  <c r="J22" i="2"/>
  <c r="I22" i="2"/>
  <c r="H22" i="2"/>
  <c r="G22" i="2"/>
  <c r="F22" i="2"/>
  <c r="E22" i="2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34" i="3" a="1"/>
  <c r="H34" i="3" s="1"/>
  <c r="H35" i="3" a="1"/>
  <c r="H35" i="3" s="1"/>
  <c r="H36" i="3" a="1"/>
  <c r="H36" i="3" s="1"/>
  <c r="H37" i="3" a="1"/>
  <c r="H37" i="3" s="1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H43" i="3" a="1"/>
  <c r="H43" i="3" s="1"/>
  <c r="H44" i="3" a="1"/>
  <c r="H44" i="3" s="1"/>
  <c r="H45" i="3" a="1"/>
  <c r="H45" i="3" s="1"/>
  <c r="H46" i="3" a="1"/>
  <c r="H46" i="3" s="1"/>
  <c r="H47" i="3" a="1"/>
  <c r="H47" i="3" s="1"/>
  <c r="H48" i="3" a="1"/>
  <c r="H48" i="3" s="1"/>
  <c r="H49" i="3" a="1"/>
  <c r="H49" i="3" s="1"/>
  <c r="H50" i="3" a="1"/>
  <c r="H50" i="3" s="1"/>
  <c r="H51" i="3" a="1"/>
  <c r="H51" i="3" s="1"/>
  <c r="H52" i="3" a="1"/>
  <c r="H52" i="3" s="1"/>
  <c r="H53" i="3" a="1"/>
  <c r="H53" i="3" s="1"/>
  <c r="H54" i="3" a="1"/>
  <c r="H54" i="3" s="1"/>
  <c r="H55" i="3" a="1"/>
  <c r="H55" i="3" s="1"/>
  <c r="H56" i="3" a="1"/>
  <c r="H56" i="3" s="1"/>
  <c r="H57" i="3" a="1"/>
  <c r="H57" i="3" s="1"/>
  <c r="H58" i="3" a="1"/>
  <c r="H58" i="3" s="1"/>
  <c r="H59" i="3" a="1"/>
  <c r="H59" i="3" s="1"/>
  <c r="H60" i="3" a="1"/>
  <c r="H60" i="3" s="1"/>
  <c r="H61" i="3" a="1"/>
  <c r="H61" i="3" s="1"/>
  <c r="H62" i="3" a="1"/>
  <c r="H62" i="3" s="1"/>
  <c r="H63" i="3" a="1"/>
  <c r="H63" i="3" s="1"/>
  <c r="H64" i="3" a="1"/>
  <c r="H64" i="3" s="1"/>
  <c r="H65" i="3" a="1"/>
  <c r="H65" i="3" s="1"/>
  <c r="H66" i="3" a="1"/>
  <c r="H66" i="3" s="1"/>
  <c r="H67" i="3" a="1"/>
  <c r="H67" i="3" s="1"/>
  <c r="H68" i="3" a="1"/>
  <c r="H68" i="3" s="1"/>
  <c r="H69" i="3" a="1"/>
  <c r="H69" i="3" s="1"/>
  <c r="H70" i="3" a="1"/>
  <c r="H70" i="3" s="1"/>
  <c r="H71" i="3" a="1"/>
  <c r="H71" i="3" s="1"/>
  <c r="H72" i="3" a="1"/>
  <c r="H72" i="3" s="1"/>
  <c r="H73" i="3" a="1"/>
  <c r="H73" i="3" s="1"/>
  <c r="H74" i="3" a="1"/>
  <c r="H74" i="3" s="1"/>
  <c r="H75" i="3" a="1"/>
  <c r="H75" i="3" s="1"/>
  <c r="H76" i="3" a="1"/>
  <c r="H76" i="3" s="1"/>
  <c r="H77" i="3" a="1"/>
  <c r="H77" i="3" s="1"/>
  <c r="H78" i="3" a="1"/>
  <c r="H78" i="3" s="1"/>
  <c r="H79" i="3" a="1"/>
  <c r="H79" i="3" s="1"/>
  <c r="H80" i="3" a="1"/>
  <c r="H80" i="3" s="1"/>
  <c r="H81" i="3" a="1"/>
  <c r="H81" i="3" s="1"/>
  <c r="H82" i="3" a="1"/>
  <c r="H82" i="3" s="1"/>
  <c r="H83" i="3" a="1"/>
  <c r="H83" i="3" s="1"/>
  <c r="H84" i="3" a="1"/>
  <c r="H84" i="3" s="1"/>
  <c r="H85" i="3" a="1"/>
  <c r="H85" i="3" s="1"/>
  <c r="H86" i="3" a="1"/>
  <c r="H86" i="3" s="1"/>
  <c r="H87" i="3" a="1"/>
  <c r="H87" i="3" s="1"/>
  <c r="H88" i="3" a="1"/>
  <c r="H88" i="3" s="1"/>
  <c r="H89" i="3" a="1"/>
  <c r="H89" i="3" s="1"/>
  <c r="H90" i="3" a="1"/>
  <c r="H90" i="3" s="1"/>
  <c r="H91" i="3" a="1"/>
  <c r="H91" i="3" s="1"/>
  <c r="H92" i="3" a="1"/>
  <c r="H92" i="3" s="1"/>
  <c r="H93" i="3" a="1"/>
  <c r="H93" i="3" s="1"/>
  <c r="H94" i="3" a="1"/>
  <c r="H94" i="3" s="1"/>
  <c r="H95" i="3" a="1"/>
  <c r="H95" i="3" s="1"/>
  <c r="H96" i="3" a="1"/>
  <c r="H96" i="3" s="1"/>
  <c r="H97" i="3" a="1"/>
  <c r="H97" i="3" s="1"/>
  <c r="H98" i="3" a="1"/>
  <c r="H98" i="3" s="1"/>
  <c r="H99" i="3" a="1"/>
  <c r="H99" i="3" s="1"/>
  <c r="H100" i="3" a="1"/>
  <c r="H100" i="3" s="1"/>
  <c r="H101" i="3" a="1"/>
  <c r="H101" i="3" s="1"/>
  <c r="H102" i="3" a="1"/>
  <c r="H102" i="3" s="1"/>
  <c r="H103" i="3" a="1"/>
  <c r="H103" i="3" s="1"/>
  <c r="H104" i="3" a="1"/>
  <c r="H104" i="3" s="1"/>
  <c r="H105" i="3" a="1"/>
  <c r="H105" i="3" s="1"/>
  <c r="H106" i="3" a="1"/>
  <c r="H106" i="3" s="1"/>
  <c r="H107" i="3" a="1"/>
  <c r="H107" i="3" s="1"/>
  <c r="H108" i="3" a="1"/>
  <c r="H108" i="3" s="1"/>
  <c r="H109" i="3" a="1"/>
  <c r="H109" i="3" s="1"/>
  <c r="H110" i="3" a="1"/>
  <c r="H110" i="3" s="1"/>
  <c r="H111" i="3" a="1"/>
  <c r="H111" i="3" s="1"/>
  <c r="H112" i="3" a="1"/>
  <c r="H112" i="3" s="1"/>
  <c r="H113" i="3" a="1"/>
  <c r="H113" i="3" s="1"/>
  <c r="H114" i="3" a="1"/>
  <c r="H114" i="3" s="1"/>
  <c r="H115" i="3" a="1"/>
  <c r="H115" i="3" s="1"/>
  <c r="H116" i="3" a="1"/>
  <c r="H116" i="3" s="1"/>
  <c r="H117" i="3" a="1"/>
  <c r="H117" i="3" s="1"/>
  <c r="H118" i="3" a="1"/>
  <c r="H118" i="3" s="1"/>
  <c r="H119" i="3" a="1"/>
  <c r="H119" i="3" s="1"/>
  <c r="H120" i="3" a="1"/>
  <c r="H120" i="3" s="1"/>
  <c r="H121" i="3" a="1"/>
  <c r="H121" i="3" s="1"/>
  <c r="H122" i="3" a="1"/>
  <c r="H122" i="3" s="1"/>
  <c r="H123" i="3" a="1"/>
  <c r="H123" i="3" s="1"/>
  <c r="H124" i="3" a="1"/>
  <c r="H124" i="3" s="1"/>
  <c r="H125" i="3" a="1"/>
  <c r="H125" i="3" s="1"/>
  <c r="H126" i="3" a="1"/>
  <c r="H126" i="3" s="1"/>
  <c r="H127" i="3" a="1"/>
  <c r="H127" i="3" s="1"/>
  <c r="H128" i="3" a="1"/>
  <c r="H128" i="3" s="1"/>
  <c r="H129" i="3" a="1"/>
  <c r="H129" i="3" s="1"/>
  <c r="H130" i="3" a="1"/>
  <c r="H130" i="3" s="1"/>
  <c r="H131" i="3" a="1"/>
  <c r="H131" i="3" s="1"/>
  <c r="H132" i="3" a="1"/>
  <c r="H132" i="3" s="1"/>
  <c r="H133" i="3" a="1"/>
  <c r="H133" i="3" s="1"/>
  <c r="H134" i="3" a="1"/>
  <c r="H134" i="3" s="1"/>
  <c r="H135" i="3" a="1"/>
  <c r="H135" i="3" s="1"/>
  <c r="H136" i="3" a="1"/>
  <c r="H136" i="3" s="1"/>
  <c r="H137" i="3" a="1"/>
  <c r="H137" i="3" s="1"/>
  <c r="H138" i="3" a="1"/>
  <c r="H138" i="3" s="1"/>
  <c r="H139" i="3" a="1"/>
  <c r="H139" i="3" s="1"/>
  <c r="H140" i="3" a="1"/>
  <c r="H140" i="3" s="1"/>
  <c r="H141" i="3" a="1"/>
  <c r="H141" i="3" s="1"/>
  <c r="H142" i="3" a="1"/>
  <c r="H142" i="3" s="1"/>
  <c r="H143" i="3" a="1"/>
  <c r="H143" i="3" s="1"/>
  <c r="H144" i="3" a="1"/>
  <c r="H144" i="3" s="1"/>
  <c r="H145" i="3" a="1"/>
  <c r="H145" i="3" s="1"/>
  <c r="H146" i="3" a="1"/>
  <c r="H146" i="3" s="1"/>
  <c r="H147" i="3" a="1"/>
  <c r="H147" i="3" s="1"/>
  <c r="H148" i="3" a="1"/>
  <c r="H148" i="3" s="1"/>
  <c r="H149" i="3" a="1"/>
  <c r="H149" i="3" s="1"/>
  <c r="H150" i="3" a="1"/>
  <c r="H150" i="3" s="1"/>
  <c r="H151" i="3" a="1"/>
  <c r="H151" i="3" s="1"/>
  <c r="H152" i="3" a="1"/>
  <c r="H152" i="3" s="1"/>
  <c r="H153" i="3" a="1"/>
  <c r="H153" i="3" s="1"/>
  <c r="H154" i="3" a="1"/>
  <c r="H154" i="3" s="1"/>
  <c r="H155" i="3" a="1"/>
  <c r="H155" i="3" s="1"/>
  <c r="H156" i="3" a="1"/>
  <c r="H156" i="3" s="1"/>
  <c r="H157" i="3" a="1"/>
  <c r="H157" i="3" s="1"/>
  <c r="H158" i="3" a="1"/>
  <c r="H158" i="3" s="1"/>
  <c r="H159" i="3" a="1"/>
  <c r="H159" i="3" s="1"/>
  <c r="H160" i="3" a="1"/>
  <c r="H160" i="3" s="1"/>
  <c r="H161" i="3" a="1"/>
  <c r="H161" i="3" s="1"/>
  <c r="H162" i="3" a="1"/>
  <c r="H162" i="3" s="1"/>
  <c r="H163" i="3" a="1"/>
  <c r="H163" i="3" s="1"/>
  <c r="H164" i="3" a="1"/>
  <c r="H164" i="3" s="1"/>
  <c r="H165" i="3" a="1"/>
  <c r="H165" i="3" s="1"/>
  <c r="H166" i="3" a="1"/>
  <c r="H166" i="3" s="1"/>
  <c r="H167" i="3" a="1"/>
  <c r="H167" i="3" s="1"/>
  <c r="H168" i="3" a="1"/>
  <c r="H168" i="3" s="1"/>
  <c r="H169" i="3" a="1"/>
  <c r="H169" i="3" s="1"/>
  <c r="H170" i="3" a="1"/>
  <c r="H170" i="3" s="1"/>
  <c r="H171" i="3" a="1"/>
  <c r="H171" i="3" s="1"/>
  <c r="H172" i="3" a="1"/>
  <c r="H172" i="3" s="1"/>
  <c r="H173" i="3" a="1"/>
  <c r="H173" i="3" s="1"/>
  <c r="H174" i="3" a="1"/>
  <c r="H174" i="3" s="1"/>
  <c r="H175" i="3" a="1"/>
  <c r="H175" i="3" s="1"/>
  <c r="H176" i="3" a="1"/>
  <c r="H176" i="3" s="1"/>
  <c r="H177" i="3" a="1"/>
  <c r="H177" i="3" s="1"/>
  <c r="H178" i="3" a="1"/>
  <c r="H178" i="3" s="1"/>
  <c r="H179" i="3" a="1"/>
  <c r="H179" i="3" s="1"/>
  <c r="H180" i="3" a="1"/>
  <c r="H180" i="3" s="1"/>
  <c r="H181" i="3" a="1"/>
  <c r="H181" i="3" s="1"/>
  <c r="H182" i="3" a="1"/>
  <c r="H182" i="3" s="1"/>
  <c r="H183" i="3" a="1"/>
  <c r="H183" i="3" s="1"/>
  <c r="H184" i="3" a="1"/>
  <c r="H184" i="3" s="1"/>
  <c r="H185" i="3" a="1"/>
  <c r="H185" i="3" s="1"/>
  <c r="H186" i="3" a="1"/>
  <c r="H186" i="3" s="1"/>
  <c r="H187" i="3" a="1"/>
  <c r="H187" i="3" s="1"/>
  <c r="H188" i="3" a="1"/>
  <c r="H188" i="3" s="1"/>
  <c r="H189" i="3" a="1"/>
  <c r="H189" i="3" s="1"/>
  <c r="H190" i="3" a="1"/>
  <c r="H190" i="3" s="1"/>
  <c r="H191" i="3" a="1"/>
  <c r="H191" i="3" s="1"/>
  <c r="H192" i="3" a="1"/>
  <c r="H192" i="3" s="1"/>
  <c r="H193" i="3" a="1"/>
  <c r="H193" i="3" s="1"/>
  <c r="H194" i="3" a="1"/>
  <c r="H194" i="3" s="1"/>
  <c r="H195" i="3" a="1"/>
  <c r="H195" i="3" s="1"/>
  <c r="H196" i="3" a="1"/>
  <c r="H196" i="3" s="1"/>
  <c r="H197" i="3" a="1"/>
  <c r="H197" i="3" s="1"/>
  <c r="H198" i="3" a="1"/>
  <c r="H198" i="3" s="1"/>
  <c r="H199" i="3" a="1"/>
  <c r="H199" i="3" s="1"/>
  <c r="H200" i="3" a="1"/>
  <c r="H200" i="3" s="1"/>
  <c r="H201" i="3" a="1"/>
  <c r="H201" i="3" s="1"/>
  <c r="H202" i="3" a="1"/>
  <c r="H202" i="3" s="1"/>
  <c r="H203" i="3" a="1"/>
  <c r="H203" i="3" s="1"/>
  <c r="H204" i="3" a="1"/>
  <c r="H204" i="3" s="1"/>
  <c r="H205" i="3" a="1"/>
  <c r="H205" i="3" s="1"/>
  <c r="H206" i="3" a="1"/>
  <c r="H206" i="3" s="1"/>
  <c r="H207" i="3" a="1"/>
  <c r="H207" i="3" s="1"/>
  <c r="H208" i="3" a="1"/>
  <c r="H208" i="3" s="1"/>
  <c r="H209" i="3" a="1"/>
  <c r="H209" i="3" s="1"/>
  <c r="H210" i="3" a="1"/>
  <c r="H210" i="3" s="1"/>
  <c r="H211" i="3" a="1"/>
  <c r="H211" i="3" s="1"/>
  <c r="H212" i="3" a="1"/>
  <c r="H212" i="3" s="1"/>
  <c r="H213" i="3" a="1"/>
  <c r="H213" i="3" s="1"/>
  <c r="H214" i="3" a="1"/>
  <c r="H214" i="3" s="1"/>
  <c r="H215" i="3" a="1"/>
  <c r="H215" i="3" s="1"/>
  <c r="H216" i="3" a="1"/>
  <c r="H216" i="3" s="1"/>
  <c r="H217" i="3" a="1"/>
  <c r="H217" i="3" s="1"/>
  <c r="H218" i="3" a="1"/>
  <c r="H218" i="3" s="1"/>
  <c r="H219" i="3" a="1"/>
  <c r="H219" i="3" s="1"/>
  <c r="H220" i="3" a="1"/>
  <c r="H220" i="3" s="1"/>
  <c r="H221" i="3" a="1"/>
  <c r="H221" i="3" s="1"/>
  <c r="H222" i="3" a="1"/>
  <c r="H222" i="3" s="1"/>
  <c r="H223" i="3" a="1"/>
  <c r="H223" i="3" s="1"/>
  <c r="H224" i="3" a="1"/>
  <c r="H224" i="3" s="1"/>
  <c r="H225" i="3" a="1"/>
  <c r="H225" i="3" s="1"/>
  <c r="H226" i="3" a="1"/>
  <c r="H226" i="3" s="1"/>
  <c r="H227" i="3" a="1"/>
  <c r="H227" i="3" s="1"/>
  <c r="H228" i="3" a="1"/>
  <c r="H228" i="3" s="1"/>
  <c r="H229" i="3" a="1"/>
  <c r="H229" i="3" s="1"/>
  <c r="H230" i="3" a="1"/>
  <c r="H230" i="3" s="1"/>
  <c r="H231" i="3" a="1"/>
  <c r="H231" i="3" s="1"/>
  <c r="H232" i="3" a="1"/>
  <c r="H232" i="3" s="1"/>
  <c r="H233" i="3" a="1"/>
  <c r="H233" i="3" s="1"/>
  <c r="H234" i="3" a="1"/>
  <c r="H234" i="3" s="1"/>
  <c r="H235" i="3" a="1"/>
  <c r="H235" i="3" s="1"/>
  <c r="H236" i="3" a="1"/>
  <c r="H236" i="3" s="1"/>
  <c r="H237" i="3" a="1"/>
  <c r="H237" i="3" s="1"/>
  <c r="H238" i="3" a="1"/>
  <c r="H238" i="3" s="1"/>
  <c r="H239" i="3" a="1"/>
  <c r="H239" i="3" s="1"/>
  <c r="H240" i="3" a="1"/>
  <c r="H240" i="3" s="1"/>
  <c r="H241" i="3" a="1"/>
  <c r="H241" i="3" s="1"/>
  <c r="H242" i="3" a="1"/>
  <c r="H242" i="3" s="1"/>
  <c r="H243" i="3" a="1"/>
  <c r="H243" i="3" s="1"/>
  <c r="H244" i="3" a="1"/>
  <c r="H244" i="3" s="1"/>
  <c r="H245" i="3" a="1"/>
  <c r="H245" i="3" s="1"/>
  <c r="H246" i="3" a="1"/>
  <c r="H246" i="3" s="1"/>
  <c r="H247" i="3" a="1"/>
  <c r="H247" i="3" s="1"/>
  <c r="H248" i="3" a="1"/>
  <c r="H248" i="3" s="1"/>
  <c r="H249" i="3" a="1"/>
  <c r="H249" i="3" s="1"/>
  <c r="H250" i="3" a="1"/>
  <c r="H250" i="3" s="1"/>
  <c r="H251" i="3" a="1"/>
  <c r="H251" i="3" s="1"/>
  <c r="H252" i="3" a="1"/>
  <c r="H252" i="3" s="1"/>
  <c r="H253" i="3" a="1"/>
  <c r="H253" i="3" s="1"/>
  <c r="H254" i="3" a="1"/>
  <c r="H254" i="3" s="1"/>
  <c r="H255" i="3" a="1"/>
  <c r="H255" i="3" s="1"/>
  <c r="H256" i="3" a="1"/>
  <c r="H256" i="3" s="1"/>
  <c r="H257" i="3" a="1"/>
  <c r="H257" i="3" s="1"/>
  <c r="H258" i="3" a="1"/>
  <c r="H258" i="3" s="1"/>
  <c r="H259" i="3" a="1"/>
  <c r="H259" i="3" s="1"/>
  <c r="H260" i="3" a="1"/>
  <c r="H260" i="3" s="1"/>
  <c r="H261" i="3" a="1"/>
  <c r="H261" i="3" s="1"/>
  <c r="H262" i="3" a="1"/>
  <c r="H262" i="3" s="1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H13" i="3" a="1"/>
  <c r="H13" i="3" s="1"/>
  <c r="I13" i="3"/>
  <c r="AE10" i="2"/>
  <c r="AE11" i="2"/>
  <c r="AE12" i="2"/>
  <c r="AE13" i="2"/>
  <c r="F20" i="2" a="1"/>
  <c r="I20" i="2" a="1"/>
  <c r="H30" i="2" a="1"/>
  <c r="K30" i="2" a="1"/>
  <c r="L20" i="2" a="1"/>
  <c r="S20" i="2" a="1"/>
  <c r="E20" i="2" a="1"/>
  <c r="E30" i="2" a="1"/>
  <c r="P20" i="2" a="1"/>
  <c r="H20" i="2" a="1"/>
  <c r="O30" i="2" a="1"/>
  <c r="F30" i="2" a="1"/>
  <c r="N30" i="2" a="1"/>
  <c r="J30" i="2" a="1"/>
  <c r="L30" i="2" a="1"/>
  <c r="G30" i="2" a="1"/>
  <c r="I30" i="2" a="1"/>
  <c r="M20" i="2" a="1"/>
  <c r="P30" i="2" a="1"/>
  <c r="N20" i="2" a="1"/>
  <c r="O20" i="2" a="1"/>
  <c r="G20" i="2" a="1"/>
  <c r="K20" i="2" a="1"/>
  <c r="J20" i="2" a="1"/>
  <c r="M30" i="2" a="1"/>
  <c r="O30" i="2" l="1"/>
  <c r="J20" i="2"/>
  <c r="H30" i="2"/>
  <c r="P30" i="2"/>
  <c r="I20" i="2"/>
  <c r="K20" i="2"/>
  <c r="I30" i="2"/>
  <c r="G30" i="2"/>
  <c r="L20" i="2"/>
  <c r="J30" i="2"/>
  <c r="M20" i="2"/>
  <c r="K30" i="2"/>
  <c r="E20" i="2"/>
  <c r="N20" i="2"/>
  <c r="L30" i="2"/>
  <c r="F20" i="2"/>
  <c r="G20" i="2"/>
  <c r="O20" i="2"/>
  <c r="M30" i="2"/>
  <c r="E30" i="2"/>
  <c r="H20" i="2"/>
  <c r="P20" i="2"/>
  <c r="N30" i="2"/>
  <c r="F30" i="2"/>
  <c r="S20" i="2"/>
  <c r="I59" i="4"/>
  <c r="I60" i="4"/>
  <c r="I61" i="4"/>
  <c r="I63" i="4"/>
  <c r="I64" i="4"/>
  <c r="I65" i="4"/>
  <c r="I67" i="4"/>
  <c r="I68" i="4"/>
  <c r="I69" i="4"/>
  <c r="I71" i="4"/>
  <c r="I72" i="4"/>
  <c r="I73" i="4"/>
  <c r="I75" i="4"/>
  <c r="I76" i="4"/>
  <c r="I77" i="4"/>
  <c r="I79" i="4"/>
  <c r="I80" i="4"/>
  <c r="I81" i="4"/>
  <c r="I83" i="4"/>
  <c r="I84" i="4"/>
  <c r="I85" i="4"/>
  <c r="I87" i="4"/>
  <c r="I88" i="4"/>
  <c r="I89" i="4"/>
  <c r="I91" i="4"/>
  <c r="I92" i="4"/>
  <c r="I93" i="4"/>
  <c r="I95" i="4"/>
  <c r="I96" i="4"/>
  <c r="I97" i="4"/>
  <c r="I99" i="4"/>
  <c r="I100" i="4"/>
  <c r="I101" i="4"/>
  <c r="I56" i="4"/>
  <c r="I57" i="4"/>
  <c r="I55" i="4"/>
  <c r="H59" i="4"/>
  <c r="H60" i="4"/>
  <c r="H61" i="4"/>
  <c r="H63" i="4"/>
  <c r="H64" i="4"/>
  <c r="H65" i="4"/>
  <c r="H67" i="4"/>
  <c r="H68" i="4"/>
  <c r="H69" i="4"/>
  <c r="H71" i="4"/>
  <c r="H72" i="4"/>
  <c r="H73" i="4"/>
  <c r="H75" i="4"/>
  <c r="H76" i="4"/>
  <c r="H77" i="4"/>
  <c r="H79" i="4"/>
  <c r="H80" i="4"/>
  <c r="H81" i="4"/>
  <c r="H83" i="4"/>
  <c r="H84" i="4"/>
  <c r="H85" i="4"/>
  <c r="H87" i="4"/>
  <c r="H88" i="4"/>
  <c r="H89" i="4"/>
  <c r="H91" i="4"/>
  <c r="H92" i="4"/>
  <c r="H93" i="4"/>
  <c r="H95" i="4"/>
  <c r="H96" i="4"/>
  <c r="H97" i="4"/>
  <c r="H99" i="4"/>
  <c r="H100" i="4"/>
  <c r="H101" i="4"/>
  <c r="H57" i="4"/>
  <c r="H56" i="4"/>
  <c r="H55" i="4"/>
  <c r="N39" i="4" a="1"/>
  <c r="N39" i="4" s="1"/>
  <c r="M39" i="4" s="1" a="1"/>
  <c r="M39" i="4" s="1"/>
  <c r="AP35" i="5"/>
  <c r="AI35" i="5"/>
  <c r="AI22" i="5"/>
  <c r="M20" i="4" a="1"/>
  <c r="M20" i="4" s="1"/>
  <c r="M19" i="4" a="1"/>
  <c r="M19" i="4" s="1"/>
  <c r="M12" i="4" a="1"/>
  <c r="M12" i="4" s="1"/>
  <c r="M11" i="4"/>
  <c r="M9" i="4"/>
  <c r="M8" i="4" a="1"/>
  <c r="M8" i="4" s="1"/>
  <c r="I20" i="4" a="1"/>
  <c r="I20" i="4" s="1"/>
  <c r="I19" i="4" a="1"/>
  <c r="I19" i="4" s="1"/>
  <c r="I12" i="4" a="1"/>
  <c r="I12" i="4" s="1"/>
  <c r="I11" i="4"/>
  <c r="I9" i="4"/>
  <c r="I8" i="4" a="1"/>
  <c r="I8" i="4" s="1"/>
  <c r="C13" i="5" a="1"/>
  <c r="C13" i="5" s="1"/>
  <c r="E13" i="5" s="1" a="1"/>
  <c r="E13" i="5" s="1"/>
  <c r="D13" i="5" s="1"/>
  <c r="I13" i="5" s="1" a="1"/>
  <c r="I13" i="5" s="1"/>
  <c r="E20" i="4" a="1"/>
  <c r="E20" i="4" s="1"/>
  <c r="E19" i="4" a="1"/>
  <c r="E19" i="4" s="1"/>
  <c r="D99" i="4" s="1"/>
  <c r="F99" i="4" s="1"/>
  <c r="C9" i="6"/>
  <c r="C10" i="6" s="1"/>
  <c r="C11" i="6" s="1"/>
  <c r="C12" i="6" s="1"/>
  <c r="C13" i="6" s="1"/>
  <c r="C14" i="6" s="1"/>
  <c r="C15" i="6" s="1"/>
  <c r="C16" i="6" s="1"/>
  <c r="C17" i="6" s="1"/>
  <c r="C18" i="6" s="1"/>
  <c r="E12" i="4" a="1"/>
  <c r="E12" i="4" s="1"/>
  <c r="E11" i="4"/>
  <c r="E9" i="4"/>
  <c r="E8" i="4" a="1"/>
  <c r="E8" i="4" s="1"/>
  <c r="I12" i="3"/>
  <c r="H12" i="3" a="1"/>
  <c r="H12" i="3" s="1"/>
  <c r="AS10" i="2"/>
  <c r="AS11" i="2"/>
  <c r="AS12" i="2"/>
  <c r="AS13" i="2"/>
  <c r="AS14" i="2"/>
  <c r="AS15" i="2"/>
  <c r="AS16" i="2"/>
  <c r="AS17" i="2"/>
  <c r="AS18" i="2"/>
  <c r="AS19" i="2"/>
  <c r="T20" i="2" a="1"/>
  <c r="U20" i="2" a="1"/>
  <c r="AH20" i="2" a="1"/>
  <c r="AG20" i="2" a="1"/>
  <c r="V20" i="2" a="1"/>
  <c r="V20" i="2" l="1"/>
  <c r="U20" i="2"/>
  <c r="T20" i="2"/>
  <c r="J99" i="4" a="1"/>
  <c r="J99" i="4" s="1"/>
  <c r="E22" i="4"/>
  <c r="E23" i="4" s="1" a="1"/>
  <c r="E23" i="4" s="1"/>
  <c r="F101" i="4"/>
  <c r="J101" i="4" s="1" a="1"/>
  <c r="J101" i="4" s="1"/>
  <c r="F100" i="4"/>
  <c r="J100" i="4" s="1" a="1"/>
  <c r="J100" i="4" s="1"/>
  <c r="G99" i="4"/>
  <c r="D55" i="4"/>
  <c r="D59" i="4"/>
  <c r="D63" i="4"/>
  <c r="D67" i="4"/>
  <c r="D71" i="4"/>
  <c r="D75" i="4"/>
  <c r="D79" i="4"/>
  <c r="D83" i="4"/>
  <c r="D87" i="4"/>
  <c r="D91" i="4"/>
  <c r="D95" i="4"/>
  <c r="AQ33" i="5"/>
  <c r="AP33" i="5"/>
  <c r="I13" i="4"/>
  <c r="I14" i="4" s="1"/>
  <c r="M13" i="4"/>
  <c r="M14" i="4" s="1"/>
  <c r="G13" i="5" a="1"/>
  <c r="G13" i="5" s="1"/>
  <c r="J13" i="5" a="1"/>
  <c r="J13" i="5" s="1"/>
  <c r="H13" i="5"/>
  <c r="K13" i="5" s="1" a="1"/>
  <c r="K13" i="5" s="1"/>
  <c r="C14" i="5" a="1"/>
  <c r="C14" i="5" s="1"/>
  <c r="J14" i="5" s="1" a="1"/>
  <c r="J14" i="5" s="1"/>
  <c r="M21" i="4"/>
  <c r="I21" i="4"/>
  <c r="M10" i="4"/>
  <c r="I10" i="4"/>
  <c r="E13" i="4"/>
  <c r="E14" i="4" s="1"/>
  <c r="E21" i="4"/>
  <c r="Y11" i="5" s="1"/>
  <c r="E10" i="4"/>
  <c r="AG20" i="2"/>
  <c r="AH20" i="2"/>
  <c r="AI20" i="2" a="1"/>
  <c r="F13" i="5" l="1"/>
  <c r="U13" i="5" s="1"/>
  <c r="G101" i="4"/>
  <c r="E24" i="4"/>
  <c r="G100" i="4"/>
  <c r="AB13" i="5"/>
  <c r="AD13" i="5"/>
  <c r="AA13" i="5"/>
  <c r="L13" i="5" a="1"/>
  <c r="L13" i="5" s="1"/>
  <c r="AC13" i="5"/>
  <c r="F83" i="4"/>
  <c r="F84" i="4"/>
  <c r="F85" i="4"/>
  <c r="F73" i="4"/>
  <c r="F71" i="4"/>
  <c r="F72" i="4"/>
  <c r="F67" i="4"/>
  <c r="F69" i="4"/>
  <c r="F68" i="4"/>
  <c r="F79" i="4"/>
  <c r="F80" i="4"/>
  <c r="F81" i="4"/>
  <c r="F76" i="4"/>
  <c r="F77" i="4"/>
  <c r="F75" i="4"/>
  <c r="F65" i="4"/>
  <c r="F63" i="4"/>
  <c r="F64" i="4"/>
  <c r="F89" i="4"/>
  <c r="F87" i="4"/>
  <c r="F88" i="4"/>
  <c r="F59" i="4"/>
  <c r="F60" i="4"/>
  <c r="F61" i="4"/>
  <c r="F57" i="4"/>
  <c r="F56" i="4"/>
  <c r="F55" i="4"/>
  <c r="F97" i="4"/>
  <c r="F95" i="4"/>
  <c r="F96" i="4"/>
  <c r="F91" i="4"/>
  <c r="F93" i="4"/>
  <c r="F92" i="4"/>
  <c r="Z13" i="5"/>
  <c r="E14" i="5" a="1"/>
  <c r="E14" i="5" s="1"/>
  <c r="H14" i="5"/>
  <c r="C15" i="5" a="1"/>
  <c r="C15" i="5" s="1"/>
  <c r="G14" i="5" a="1"/>
  <c r="G14" i="5" s="1"/>
  <c r="R13" i="5"/>
  <c r="W13" i="5"/>
  <c r="Q13" i="5"/>
  <c r="M13" i="5" a="1"/>
  <c r="M13" i="5" s="1"/>
  <c r="X13" i="5"/>
  <c r="V13" i="5"/>
  <c r="T13" i="5"/>
  <c r="N13" i="5" a="1"/>
  <c r="N13" i="5" s="1"/>
  <c r="P13" i="5"/>
  <c r="AF11" i="5"/>
  <c r="AI20" i="2"/>
  <c r="AJ20" i="2" a="1"/>
  <c r="S13" i="5" l="1"/>
  <c r="O13" i="5"/>
  <c r="J57" i="4" a="1"/>
  <c r="J57" i="4" s="1"/>
  <c r="G57" i="4"/>
  <c r="J68" i="4" a="1"/>
  <c r="J68" i="4" s="1"/>
  <c r="G68" i="4"/>
  <c r="J60" i="4" a="1"/>
  <c r="J60" i="4" s="1"/>
  <c r="G60" i="4"/>
  <c r="J67" i="4" a="1"/>
  <c r="J67" i="4" s="1"/>
  <c r="G67" i="4"/>
  <c r="J55" i="4" a="1"/>
  <c r="J55" i="4" s="1"/>
  <c r="G55" i="4"/>
  <c r="J69" i="4" a="1"/>
  <c r="J69" i="4" s="1"/>
  <c r="G69" i="4"/>
  <c r="J59" i="4" a="1"/>
  <c r="J59" i="4" s="1"/>
  <c r="G59" i="4"/>
  <c r="J72" i="4" a="1"/>
  <c r="J72" i="4" s="1"/>
  <c r="G72" i="4"/>
  <c r="J88" i="4" a="1"/>
  <c r="J88" i="4" s="1"/>
  <c r="G88" i="4"/>
  <c r="J71" i="4" a="1"/>
  <c r="J71" i="4" s="1"/>
  <c r="G71" i="4"/>
  <c r="J87" i="4" a="1"/>
  <c r="J87" i="4" s="1"/>
  <c r="G87" i="4"/>
  <c r="J73" i="4" a="1"/>
  <c r="J73" i="4" s="1"/>
  <c r="G73" i="4"/>
  <c r="J89" i="4" a="1"/>
  <c r="J89" i="4" s="1"/>
  <c r="G89" i="4"/>
  <c r="J85" i="4" a="1"/>
  <c r="J85" i="4" s="1"/>
  <c r="G85" i="4"/>
  <c r="J80" i="4" a="1"/>
  <c r="J80" i="4" s="1"/>
  <c r="G80" i="4"/>
  <c r="J64" i="4" a="1"/>
  <c r="J64" i="4" s="1"/>
  <c r="G64" i="4"/>
  <c r="J84" i="4" a="1"/>
  <c r="J84" i="4" s="1"/>
  <c r="G84" i="4"/>
  <c r="J56" i="4" a="1"/>
  <c r="J56" i="4" s="1"/>
  <c r="G56" i="4"/>
  <c r="J92" i="4" a="1"/>
  <c r="J92" i="4" s="1"/>
  <c r="G92" i="4"/>
  <c r="J63" i="4" a="1"/>
  <c r="J63" i="4" s="1"/>
  <c r="G63" i="4"/>
  <c r="J83" i="4" a="1"/>
  <c r="J83" i="4" s="1"/>
  <c r="G83" i="4"/>
  <c r="J61" i="4" a="1"/>
  <c r="J61" i="4" s="1"/>
  <c r="G61" i="4"/>
  <c r="J93" i="4" a="1"/>
  <c r="J93" i="4" s="1"/>
  <c r="G93" i="4"/>
  <c r="J65" i="4" a="1"/>
  <c r="J65" i="4" s="1"/>
  <c r="G65" i="4"/>
  <c r="J75" i="4" a="1"/>
  <c r="J75" i="4" s="1"/>
  <c r="G75" i="4"/>
  <c r="J96" i="4" a="1"/>
  <c r="J96" i="4" s="1"/>
  <c r="G96" i="4"/>
  <c r="J77" i="4" a="1"/>
  <c r="J77" i="4" s="1"/>
  <c r="G77" i="4"/>
  <c r="J79" i="4" a="1"/>
  <c r="J79" i="4" s="1"/>
  <c r="G79" i="4"/>
  <c r="J95" i="4" a="1"/>
  <c r="J95" i="4" s="1"/>
  <c r="G95" i="4"/>
  <c r="J76" i="4" a="1"/>
  <c r="J76" i="4" s="1"/>
  <c r="G76" i="4"/>
  <c r="J91" i="4" a="1"/>
  <c r="J91" i="4" s="1"/>
  <c r="G91" i="4"/>
  <c r="J97" i="4" a="1"/>
  <c r="J97" i="4" s="1"/>
  <c r="G97" i="4"/>
  <c r="J81" i="4" a="1"/>
  <c r="J81" i="4" s="1"/>
  <c r="G81" i="4"/>
  <c r="C16" i="5" a="1"/>
  <c r="C16" i="5" s="1"/>
  <c r="E15" i="5" a="1"/>
  <c r="E15" i="5" s="1"/>
  <c r="H15" i="5"/>
  <c r="G15" i="5" a="1"/>
  <c r="G15" i="5" s="1"/>
  <c r="J15" i="5" a="1"/>
  <c r="J15" i="5" s="1"/>
  <c r="D14" i="5"/>
  <c r="F14" i="5"/>
  <c r="Y13" i="5"/>
  <c r="AJ20" i="2"/>
  <c r="AK20" i="2" a="1"/>
  <c r="M14" i="5" l="1" a="1"/>
  <c r="M14" i="5" s="1"/>
  <c r="V14" i="5" s="1"/>
  <c r="I14" i="5" a="1"/>
  <c r="I14" i="5" s="1"/>
  <c r="K14" i="5" s="1" a="1"/>
  <c r="K14" i="5" s="1"/>
  <c r="F15" i="5"/>
  <c r="D15" i="5"/>
  <c r="I15" i="5" s="1" a="1"/>
  <c r="I15" i="5" s="1"/>
  <c r="K15" i="5" s="1" a="1"/>
  <c r="K15" i="5" s="1"/>
  <c r="C17" i="5" a="1"/>
  <c r="C17" i="5" s="1"/>
  <c r="E16" i="5" a="1"/>
  <c r="E16" i="5" s="1"/>
  <c r="G16" i="5" a="1"/>
  <c r="G16" i="5" s="1"/>
  <c r="H16" i="5"/>
  <c r="J16" i="5" a="1"/>
  <c r="J16" i="5" s="1"/>
  <c r="AK20" i="2"/>
  <c r="AL20" i="2" a="1"/>
  <c r="F16" i="5" l="1"/>
  <c r="D16" i="5"/>
  <c r="I16" i="5" s="1" a="1"/>
  <c r="I16" i="5" s="1"/>
  <c r="K16" i="5" s="1" a="1"/>
  <c r="K16" i="5" s="1"/>
  <c r="C18" i="5" a="1"/>
  <c r="C18" i="5" s="1"/>
  <c r="E17" i="5" a="1"/>
  <c r="E17" i="5" s="1"/>
  <c r="H17" i="5"/>
  <c r="G17" i="5" a="1"/>
  <c r="G17" i="5" s="1"/>
  <c r="J17" i="5" a="1"/>
  <c r="J17" i="5" s="1"/>
  <c r="M15" i="5" a="1"/>
  <c r="M15" i="5" s="1"/>
  <c r="N15" i="5" a="1"/>
  <c r="N15" i="5" s="1"/>
  <c r="N14" i="5" a="1"/>
  <c r="N14" i="5" s="1"/>
  <c r="Q14" i="5" s="1"/>
  <c r="AL20" i="2"/>
  <c r="AM20" i="2" a="1"/>
  <c r="O14" i="5" l="1"/>
  <c r="V15" i="5"/>
  <c r="Q15" i="5"/>
  <c r="F17" i="5"/>
  <c r="D17" i="5"/>
  <c r="I17" i="5" s="1" a="1"/>
  <c r="I17" i="5" s="1"/>
  <c r="K17" i="5" s="1" a="1"/>
  <c r="K17" i="5" s="1"/>
  <c r="O15" i="5"/>
  <c r="C19" i="5" a="1"/>
  <c r="C19" i="5" s="1"/>
  <c r="E18" i="5" a="1"/>
  <c r="E18" i="5" s="1"/>
  <c r="H18" i="5"/>
  <c r="G18" i="5" a="1"/>
  <c r="G18" i="5" s="1"/>
  <c r="J18" i="5" a="1"/>
  <c r="J18" i="5" s="1"/>
  <c r="T15" i="5"/>
  <c r="T14" i="5"/>
  <c r="N16" i="5" a="1"/>
  <c r="N16" i="5" s="1"/>
  <c r="M16" i="5" a="1"/>
  <c r="M16" i="5" s="1"/>
  <c r="AM20" i="2"/>
  <c r="AN20" i="2" a="1"/>
  <c r="T16" i="5" l="1"/>
  <c r="V16" i="5"/>
  <c r="O16" i="5"/>
  <c r="Q16" i="5"/>
  <c r="F18" i="5"/>
  <c r="D18" i="5"/>
  <c r="I18" i="5" s="1" a="1"/>
  <c r="I18" i="5" s="1"/>
  <c r="K18" i="5" s="1" a="1"/>
  <c r="K18" i="5" s="1"/>
  <c r="C20" i="5" a="1"/>
  <c r="C20" i="5" s="1"/>
  <c r="E19" i="5" a="1"/>
  <c r="E19" i="5" s="1"/>
  <c r="H19" i="5"/>
  <c r="G19" i="5" a="1"/>
  <c r="G19" i="5" s="1"/>
  <c r="J19" i="5" a="1"/>
  <c r="J19" i="5" s="1"/>
  <c r="M17" i="5" a="1"/>
  <c r="M17" i="5" s="1"/>
  <c r="N17" i="5" a="1"/>
  <c r="N17" i="5" s="1"/>
  <c r="AN20" i="2"/>
  <c r="AO20" i="2" a="1"/>
  <c r="P15" i="5"/>
  <c r="P14" i="5"/>
  <c r="P16" i="5"/>
  <c r="O17" i="5" l="1"/>
  <c r="T17" i="5"/>
  <c r="V17" i="5"/>
  <c r="F19" i="5"/>
  <c r="D19" i="5"/>
  <c r="I19" i="5" s="1" a="1"/>
  <c r="I19" i="5" s="1"/>
  <c r="K19" i="5" s="1" a="1"/>
  <c r="K19" i="5" s="1"/>
  <c r="C21" i="5" a="1"/>
  <c r="C21" i="5" s="1"/>
  <c r="G20" i="5" a="1"/>
  <c r="G20" i="5" s="1"/>
  <c r="E20" i="5" a="1"/>
  <c r="E20" i="5" s="1"/>
  <c r="H20" i="5"/>
  <c r="J20" i="5" a="1"/>
  <c r="J20" i="5" s="1"/>
  <c r="Q17" i="5"/>
  <c r="N18" i="5" a="1"/>
  <c r="N18" i="5" s="1"/>
  <c r="M18" i="5" a="1"/>
  <c r="M18" i="5" s="1"/>
  <c r="V18" i="5" s="1"/>
  <c r="AO20" i="2"/>
  <c r="AP20" i="2" a="1"/>
  <c r="P17" i="5"/>
  <c r="Q18" i="5" l="1"/>
  <c r="T18" i="5"/>
  <c r="O18" i="5"/>
  <c r="AD20" i="5"/>
  <c r="L20" i="5" a="1"/>
  <c r="L20" i="5" s="1"/>
  <c r="AB20" i="5"/>
  <c r="AC20" i="5"/>
  <c r="AA20" i="5"/>
  <c r="Z20" i="5"/>
  <c r="C22" i="5" a="1"/>
  <c r="C22" i="5" s="1"/>
  <c r="G21" i="5" a="1"/>
  <c r="G21" i="5" s="1"/>
  <c r="E21" i="5" a="1"/>
  <c r="E21" i="5" s="1"/>
  <c r="H21" i="5"/>
  <c r="J21" i="5" a="1"/>
  <c r="J21" i="5" s="1"/>
  <c r="S19" i="5"/>
  <c r="U19" i="5"/>
  <c r="T19" i="5"/>
  <c r="X19" i="5"/>
  <c r="M19" i="5" a="1"/>
  <c r="M19" i="5" s="1"/>
  <c r="Q19" i="5"/>
  <c r="O19" i="5"/>
  <c r="R19" i="5"/>
  <c r="P19" i="5"/>
  <c r="V19" i="5"/>
  <c r="N19" i="5" a="1"/>
  <c r="N19" i="5" s="1"/>
  <c r="W19" i="5"/>
  <c r="K20" i="5" a="1"/>
  <c r="K20" i="5" s="1"/>
  <c r="D20" i="5"/>
  <c r="I20" i="5" s="1" a="1"/>
  <c r="I20" i="5" s="1"/>
  <c r="F20" i="5"/>
  <c r="AP20" i="2"/>
  <c r="P18" i="5"/>
  <c r="AQ20" i="2" a="1"/>
  <c r="F21" i="5" l="1"/>
  <c r="D21" i="5"/>
  <c r="M20" i="5" a="1"/>
  <c r="M20" i="5" s="1"/>
  <c r="U20" i="5"/>
  <c r="X20" i="5"/>
  <c r="Q20" i="5"/>
  <c r="O20" i="5"/>
  <c r="R20" i="5"/>
  <c r="P20" i="5"/>
  <c r="V20" i="5"/>
  <c r="T20" i="5"/>
  <c r="S20" i="5"/>
  <c r="N20" i="5" a="1"/>
  <c r="N20" i="5" s="1"/>
  <c r="W20" i="5"/>
  <c r="C23" i="5" a="1"/>
  <c r="C23" i="5" s="1"/>
  <c r="G22" i="5" a="1"/>
  <c r="G22" i="5" s="1"/>
  <c r="E22" i="5" a="1"/>
  <c r="E22" i="5" s="1"/>
  <c r="H22" i="5"/>
  <c r="J22" i="5" a="1"/>
  <c r="J22" i="5" s="1"/>
  <c r="AQ20" i="2"/>
  <c r="AR20" i="2" a="1"/>
  <c r="M21" i="5" l="1" a="1"/>
  <c r="M21" i="5" s="1"/>
  <c r="V21" i="5" s="1"/>
  <c r="I21" i="5" a="1"/>
  <c r="I21" i="5" s="1"/>
  <c r="K21" i="5" s="1" a="1"/>
  <c r="K21" i="5" s="1"/>
  <c r="C24" i="5" a="1"/>
  <c r="C24" i="5" s="1"/>
  <c r="G23" i="5" a="1"/>
  <c r="G23" i="5" s="1"/>
  <c r="E23" i="5" a="1"/>
  <c r="E23" i="5" s="1"/>
  <c r="H23" i="5"/>
  <c r="J23" i="5" a="1"/>
  <c r="J23" i="5" s="1"/>
  <c r="F22" i="5"/>
  <c r="D22" i="5"/>
  <c r="I22" i="5" s="1" a="1"/>
  <c r="I22" i="5" s="1"/>
  <c r="K22" i="5" s="1" a="1"/>
  <c r="K22" i="5" s="1"/>
  <c r="AR20" i="2"/>
  <c r="AS20" i="2" a="1"/>
  <c r="M22" i="5" l="1" a="1"/>
  <c r="M22" i="5" s="1"/>
  <c r="F23" i="5"/>
  <c r="D23" i="5"/>
  <c r="I23" i="5" s="1" a="1"/>
  <c r="I23" i="5" s="1"/>
  <c r="K23" i="5" s="1" a="1"/>
  <c r="K23" i="5" s="1"/>
  <c r="C25" i="5" a="1"/>
  <c r="C25" i="5" s="1"/>
  <c r="G24" i="5" a="1"/>
  <c r="G24" i="5" s="1"/>
  <c r="E24" i="5" a="1"/>
  <c r="E24" i="5" s="1"/>
  <c r="H24" i="5"/>
  <c r="J24" i="5" a="1"/>
  <c r="J24" i="5" s="1"/>
  <c r="AS20" i="2"/>
  <c r="AS23" i="2"/>
  <c r="AS24" i="2"/>
  <c r="AS25" i="2"/>
  <c r="AS26" i="2"/>
  <c r="AS27" i="2"/>
  <c r="AS28" i="2"/>
  <c r="AS29" i="2"/>
  <c r="AG30" i="2" a="1"/>
  <c r="M23" i="5" l="1" a="1"/>
  <c r="M23" i="5" s="1"/>
  <c r="F24" i="5"/>
  <c r="D24" i="5"/>
  <c r="I24" i="5" s="1" a="1"/>
  <c r="I24" i="5" s="1"/>
  <c r="K24" i="5" s="1" a="1"/>
  <c r="K24" i="5" s="1"/>
  <c r="V22" i="5"/>
  <c r="C26" i="5" a="1"/>
  <c r="C26" i="5" s="1"/>
  <c r="G25" i="5" a="1"/>
  <c r="G25" i="5" s="1"/>
  <c r="E25" i="5" a="1"/>
  <c r="E25" i="5" s="1"/>
  <c r="H25" i="5"/>
  <c r="J25" i="5" a="1"/>
  <c r="J25" i="5" s="1"/>
  <c r="AG30" i="2"/>
  <c r="AH30" i="2" a="1"/>
  <c r="F25" i="5" l="1"/>
  <c r="D25" i="5"/>
  <c r="I25" i="5" s="1" a="1"/>
  <c r="I25" i="5" s="1"/>
  <c r="K25" i="5" s="1" a="1"/>
  <c r="K25" i="5" s="1"/>
  <c r="C27" i="5" a="1"/>
  <c r="C27" i="5" s="1"/>
  <c r="G26" i="5" a="1"/>
  <c r="G26" i="5" s="1"/>
  <c r="E26" i="5" a="1"/>
  <c r="E26" i="5" s="1"/>
  <c r="H26" i="5"/>
  <c r="J26" i="5" a="1"/>
  <c r="J26" i="5" s="1"/>
  <c r="M24" i="5" a="1"/>
  <c r="M24" i="5" s="1"/>
  <c r="V23" i="5"/>
  <c r="AH30" i="2"/>
  <c r="AI30" i="2" a="1"/>
  <c r="V24" i="5" l="1"/>
  <c r="C28" i="5" a="1"/>
  <c r="C28" i="5" s="1"/>
  <c r="G27" i="5" a="1"/>
  <c r="G27" i="5" s="1"/>
  <c r="H27" i="5"/>
  <c r="E27" i="5" a="1"/>
  <c r="E27" i="5" s="1"/>
  <c r="J27" i="5" a="1"/>
  <c r="J27" i="5" s="1"/>
  <c r="D26" i="5"/>
  <c r="I26" i="5" s="1" a="1"/>
  <c r="I26" i="5" s="1"/>
  <c r="K26" i="5" s="1" a="1"/>
  <c r="K26" i="5" s="1"/>
  <c r="F26" i="5"/>
  <c r="M25" i="5" a="1"/>
  <c r="M25" i="5" s="1"/>
  <c r="AI30" i="2"/>
  <c r="AJ30" i="2" a="1"/>
  <c r="V25" i="5" l="1"/>
  <c r="C29" i="5" a="1"/>
  <c r="C29" i="5" s="1"/>
  <c r="N25" i="5" s="1" a="1"/>
  <c r="N25" i="5" s="1"/>
  <c r="T25" i="5" s="1"/>
  <c r="H28" i="5"/>
  <c r="G28" i="5" a="1"/>
  <c r="G28" i="5" s="1"/>
  <c r="E28" i="5" a="1"/>
  <c r="E28" i="5" s="1"/>
  <c r="J28" i="5" a="1"/>
  <c r="J28" i="5" s="1"/>
  <c r="M26" i="5" a="1"/>
  <c r="M26" i="5" s="1"/>
  <c r="F27" i="5"/>
  <c r="D27" i="5"/>
  <c r="I27" i="5" s="1" a="1"/>
  <c r="I27" i="5" s="1"/>
  <c r="K27" i="5" s="1" a="1"/>
  <c r="K27" i="5" s="1"/>
  <c r="AJ30" i="2"/>
  <c r="AK30" i="2" a="1"/>
  <c r="O25" i="5" l="1"/>
  <c r="Q25" i="5"/>
  <c r="N21" i="5" a="1"/>
  <c r="N21" i="5" s="1"/>
  <c r="Q21" i="5" s="1"/>
  <c r="N24" i="5" a="1"/>
  <c r="N24" i="5" s="1"/>
  <c r="T24" i="5" s="1"/>
  <c r="N22" i="5" a="1"/>
  <c r="N22" i="5" s="1"/>
  <c r="O22" i="5" s="1"/>
  <c r="N26" i="5" a="1"/>
  <c r="N26" i="5" s="1"/>
  <c r="O26" i="5" s="1"/>
  <c r="N23" i="5" a="1"/>
  <c r="N23" i="5" s="1"/>
  <c r="V26" i="5"/>
  <c r="C30" i="5" a="1"/>
  <c r="C30" i="5" s="1"/>
  <c r="H29" i="5"/>
  <c r="G29" i="5" a="1"/>
  <c r="G29" i="5" s="1"/>
  <c r="E29" i="5" a="1"/>
  <c r="E29" i="5" s="1"/>
  <c r="J29" i="5" a="1"/>
  <c r="J29" i="5" s="1"/>
  <c r="F28" i="5"/>
  <c r="D28" i="5"/>
  <c r="N27" i="5" a="1"/>
  <c r="N27" i="5" s="1"/>
  <c r="M27" i="5" a="1"/>
  <c r="M27" i="5" s="1"/>
  <c r="AK30" i="2"/>
  <c r="AL30" i="2" a="1"/>
  <c r="O24" i="5" l="1"/>
  <c r="Q24" i="5"/>
  <c r="O21" i="5"/>
  <c r="T21" i="5"/>
  <c r="Q26" i="5"/>
  <c r="T26" i="5"/>
  <c r="T22" i="5"/>
  <c r="Q22" i="5"/>
  <c r="O23" i="5"/>
  <c r="T23" i="5"/>
  <c r="Q23" i="5"/>
  <c r="O27" i="5"/>
  <c r="V27" i="5"/>
  <c r="Q27" i="5"/>
  <c r="T27" i="5"/>
  <c r="F29" i="5"/>
  <c r="D29" i="5"/>
  <c r="I28" i="5" a="1"/>
  <c r="I28" i="5" s="1"/>
  <c r="K28" i="5" s="1" a="1"/>
  <c r="K28" i="5" s="1"/>
  <c r="M28" i="5" a="1"/>
  <c r="M28" i="5" s="1"/>
  <c r="V28" i="5" s="1"/>
  <c r="C31" i="5" a="1"/>
  <c r="C31" i="5" s="1"/>
  <c r="E30" i="5" a="1"/>
  <c r="E30" i="5" s="1"/>
  <c r="H30" i="5"/>
  <c r="G30" i="5" a="1"/>
  <c r="G30" i="5" s="1"/>
  <c r="J30" i="5" a="1"/>
  <c r="J30" i="5" s="1"/>
  <c r="AL30" i="2"/>
  <c r="AM30" i="2" a="1"/>
  <c r="M29" i="5" l="1" a="1"/>
  <c r="M29" i="5" s="1"/>
  <c r="V29" i="5" s="1"/>
  <c r="C32" i="5" a="1"/>
  <c r="C32" i="5" s="1"/>
  <c r="E31" i="5" a="1"/>
  <c r="E31" i="5" s="1"/>
  <c r="H31" i="5"/>
  <c r="G31" i="5" a="1"/>
  <c r="G31" i="5" s="1"/>
  <c r="J31" i="5" a="1"/>
  <c r="J31" i="5" s="1"/>
  <c r="F30" i="5"/>
  <c r="D30" i="5"/>
  <c r="N28" i="5" a="1"/>
  <c r="N28" i="5" s="1"/>
  <c r="T28" i="5" s="1"/>
  <c r="N29" i="5" a="1"/>
  <c r="N29" i="5" s="1"/>
  <c r="I29" i="5" a="1"/>
  <c r="I29" i="5" s="1"/>
  <c r="K29" i="5" s="1" a="1"/>
  <c r="K29" i="5" s="1"/>
  <c r="AM30" i="2"/>
  <c r="P27" i="5"/>
  <c r="P22" i="5"/>
  <c r="P24" i="5"/>
  <c r="P21" i="5"/>
  <c r="P25" i="5"/>
  <c r="P23" i="5"/>
  <c r="AN30" i="2" a="1"/>
  <c r="P26" i="5"/>
  <c r="O29" i="5" l="1"/>
  <c r="Q28" i="5"/>
  <c r="Q29" i="5"/>
  <c r="M30" i="5" a="1"/>
  <c r="M30" i="5" s="1"/>
  <c r="V30" i="5" s="1"/>
  <c r="I30" i="5" a="1"/>
  <c r="I30" i="5" s="1"/>
  <c r="K30" i="5" s="1" a="1"/>
  <c r="K30" i="5" s="1"/>
  <c r="T29" i="5"/>
  <c r="F31" i="5"/>
  <c r="D31" i="5"/>
  <c r="I31" i="5" s="1" a="1"/>
  <c r="I31" i="5" s="1"/>
  <c r="K31" i="5" s="1" a="1"/>
  <c r="K31" i="5" s="1"/>
  <c r="C33" i="5" a="1"/>
  <c r="C33" i="5" s="1"/>
  <c r="N30" i="5" s="1" a="1"/>
  <c r="N30" i="5" s="1"/>
  <c r="E32" i="5" a="1"/>
  <c r="E32" i="5" s="1"/>
  <c r="H32" i="5"/>
  <c r="G32" i="5" a="1"/>
  <c r="G32" i="5" s="1"/>
  <c r="J32" i="5" a="1"/>
  <c r="J32" i="5" s="1"/>
  <c r="O28" i="5"/>
  <c r="AN30" i="2"/>
  <c r="P28" i="5"/>
  <c r="AO30" i="2" a="1"/>
  <c r="T30" i="5" l="1"/>
  <c r="C34" i="5" a="1"/>
  <c r="C34" i="5" s="1"/>
  <c r="E33" i="5" a="1"/>
  <c r="E33" i="5" s="1"/>
  <c r="H33" i="5"/>
  <c r="G33" i="5" a="1"/>
  <c r="G33" i="5" s="1"/>
  <c r="J33" i="5" a="1"/>
  <c r="J33" i="5" s="1"/>
  <c r="F32" i="5"/>
  <c r="D32" i="5"/>
  <c r="I32" i="5" s="1" a="1"/>
  <c r="I32" i="5" s="1"/>
  <c r="K32" i="5" s="1" a="1"/>
  <c r="K32" i="5" s="1"/>
  <c r="O30" i="5"/>
  <c r="Q30" i="5"/>
  <c r="M31" i="5" a="1"/>
  <c r="M31" i="5" s="1"/>
  <c r="N31" i="5" a="1"/>
  <c r="N31" i="5" s="1"/>
  <c r="AO30" i="2"/>
  <c r="P29" i="5"/>
  <c r="AP30" i="2" a="1"/>
  <c r="Q31" i="5" l="1"/>
  <c r="T31" i="5"/>
  <c r="O31" i="5"/>
  <c r="V31" i="5"/>
  <c r="M32" i="5" a="1"/>
  <c r="M32" i="5" s="1"/>
  <c r="V32" i="5" s="1"/>
  <c r="D33" i="5"/>
  <c r="I33" i="5" s="1" a="1"/>
  <c r="I33" i="5" s="1"/>
  <c r="K33" i="5" s="1" a="1"/>
  <c r="K33" i="5" s="1"/>
  <c r="F33" i="5"/>
  <c r="C35" i="5" a="1"/>
  <c r="C35" i="5" s="1"/>
  <c r="N32" i="5" s="1" a="1"/>
  <c r="N32" i="5" s="1"/>
  <c r="E34" i="5" a="1"/>
  <c r="E34" i="5" s="1"/>
  <c r="H34" i="5"/>
  <c r="G34" i="5" a="1"/>
  <c r="G34" i="5" s="1"/>
  <c r="J34" i="5" a="1"/>
  <c r="J34" i="5" s="1"/>
  <c r="AP30" i="2"/>
  <c r="AQ30" i="2" a="1"/>
  <c r="P30" i="5"/>
  <c r="O32" i="5" l="1"/>
  <c r="Q32" i="5"/>
  <c r="T32" i="5"/>
  <c r="M33" i="5" a="1"/>
  <c r="M33" i="5" s="1"/>
  <c r="N33" i="5" a="1"/>
  <c r="N33" i="5" s="1"/>
  <c r="C36" i="5" a="1"/>
  <c r="C36" i="5" s="1"/>
  <c r="G35" i="5" a="1"/>
  <c r="G35" i="5" s="1"/>
  <c r="E35" i="5" a="1"/>
  <c r="E35" i="5" s="1"/>
  <c r="H35" i="5"/>
  <c r="J35" i="5" a="1"/>
  <c r="J35" i="5" s="1"/>
  <c r="F34" i="5"/>
  <c r="D34" i="5"/>
  <c r="I34" i="5" s="1" a="1"/>
  <c r="I34" i="5" s="1"/>
  <c r="K34" i="5" s="1" a="1"/>
  <c r="K34" i="5" s="1"/>
  <c r="AQ30" i="2"/>
  <c r="P31" i="5"/>
  <c r="AR30" i="2" a="1"/>
  <c r="T33" i="5" l="1"/>
  <c r="Q33" i="5"/>
  <c r="O33" i="5"/>
  <c r="V33" i="5"/>
  <c r="D35" i="5"/>
  <c r="I35" i="5" s="1" a="1"/>
  <c r="I35" i="5" s="1"/>
  <c r="K35" i="5" s="1" a="1"/>
  <c r="K35" i="5" s="1"/>
  <c r="F35" i="5"/>
  <c r="C37" i="5" a="1"/>
  <c r="C37" i="5" s="1"/>
  <c r="G36" i="5" a="1"/>
  <c r="G36" i="5" s="1"/>
  <c r="E36" i="5" a="1"/>
  <c r="E36" i="5" s="1"/>
  <c r="H36" i="5"/>
  <c r="J36" i="5" a="1"/>
  <c r="J36" i="5" s="1"/>
  <c r="M34" i="5" a="1"/>
  <c r="M34" i="5" s="1"/>
  <c r="N34" i="5" a="1"/>
  <c r="N34" i="5" s="1"/>
  <c r="AR30" i="2"/>
  <c r="AS30" i="2" a="1"/>
  <c r="P32" i="5"/>
  <c r="O34" i="5" l="1"/>
  <c r="V34" i="5"/>
  <c r="Q34" i="5"/>
  <c r="T34" i="5"/>
  <c r="D36" i="5"/>
  <c r="I36" i="5" s="1" a="1"/>
  <c r="I36" i="5" s="1"/>
  <c r="F36" i="5"/>
  <c r="K36" i="5" a="1"/>
  <c r="K36" i="5" s="1"/>
  <c r="C38" i="5" a="1"/>
  <c r="C38" i="5" s="1"/>
  <c r="G37" i="5" a="1"/>
  <c r="G37" i="5" s="1"/>
  <c r="H37" i="5"/>
  <c r="E37" i="5" a="1"/>
  <c r="E37" i="5" s="1"/>
  <c r="J37" i="5" a="1"/>
  <c r="J37" i="5" s="1"/>
  <c r="N35" i="5" a="1"/>
  <c r="N35" i="5" s="1"/>
  <c r="M35" i="5" a="1"/>
  <c r="M35" i="5" s="1"/>
  <c r="AS30" i="2"/>
  <c r="AS33" i="2"/>
  <c r="AS34" i="2"/>
  <c r="AS35" i="2"/>
  <c r="AS36" i="2"/>
  <c r="AS37" i="2"/>
  <c r="AS38" i="2"/>
  <c r="AS39" i="2"/>
  <c r="AS40" i="2"/>
  <c r="AS41" i="2"/>
  <c r="AS42" i="2"/>
  <c r="P34" i="5"/>
  <c r="P33" i="5"/>
  <c r="AG43" i="2" a="1"/>
  <c r="O35" i="5" l="1"/>
  <c r="V35" i="5"/>
  <c r="T35" i="5"/>
  <c r="Q35" i="5"/>
  <c r="C39" i="5" a="1"/>
  <c r="C39" i="5" s="1"/>
  <c r="G38" i="5" a="1"/>
  <c r="G38" i="5" s="1"/>
  <c r="E38" i="5" a="1"/>
  <c r="E38" i="5" s="1"/>
  <c r="H38" i="5"/>
  <c r="J38" i="5" a="1"/>
  <c r="J38" i="5" s="1"/>
  <c r="F37" i="5"/>
  <c r="D37" i="5"/>
  <c r="I37" i="5" s="1" a="1"/>
  <c r="I37" i="5" s="1"/>
  <c r="K37" i="5" a="1"/>
  <c r="K37" i="5" s="1"/>
  <c r="N36" i="5" a="1"/>
  <c r="N36" i="5" s="1"/>
  <c r="M36" i="5" a="1"/>
  <c r="M36" i="5" s="1"/>
  <c r="O36" i="5" s="1"/>
  <c r="AG43" i="2"/>
  <c r="AG7" i="2" s="1"/>
  <c r="AG6" i="2" s="1"/>
  <c r="AE42" i="2"/>
  <c r="AE41" i="2"/>
  <c r="AE40" i="2"/>
  <c r="AE39" i="2"/>
  <c r="AE38" i="2"/>
  <c r="AE37" i="2"/>
  <c r="AE36" i="2"/>
  <c r="AE35" i="2"/>
  <c r="AE34" i="2"/>
  <c r="AE33" i="2"/>
  <c r="AE29" i="2"/>
  <c r="AE28" i="2"/>
  <c r="AE27" i="2"/>
  <c r="AE26" i="2"/>
  <c r="AE25" i="2"/>
  <c r="AE24" i="2"/>
  <c r="AE23" i="2"/>
  <c r="AE19" i="2"/>
  <c r="AE18" i="2"/>
  <c r="AE17" i="2"/>
  <c r="AE16" i="2"/>
  <c r="AE15" i="2"/>
  <c r="AE14" i="2"/>
  <c r="Q42" i="2"/>
  <c r="Q41" i="2"/>
  <c r="Q40" i="2"/>
  <c r="Q39" i="2"/>
  <c r="Q38" i="2"/>
  <c r="Q37" i="2"/>
  <c r="Q36" i="2"/>
  <c r="Q35" i="2"/>
  <c r="Q34" i="2"/>
  <c r="Q33" i="2"/>
  <c r="Q29" i="2"/>
  <c r="Q28" i="2"/>
  <c r="Q27" i="2"/>
  <c r="Q26" i="2"/>
  <c r="Q25" i="2"/>
  <c r="Q24" i="2"/>
  <c r="Q23" i="2"/>
  <c r="Q11" i="2"/>
  <c r="Q12" i="2"/>
  <c r="Q13" i="2"/>
  <c r="Q14" i="2"/>
  <c r="Q15" i="2"/>
  <c r="Q16" i="2"/>
  <c r="Q17" i="2"/>
  <c r="Q18" i="2"/>
  <c r="Q19" i="2"/>
  <c r="Q10" i="2"/>
  <c r="E5" i="2"/>
  <c r="Q9" i="2" s="1"/>
  <c r="P35" i="5"/>
  <c r="P36" i="5"/>
  <c r="V43" i="2" a="1"/>
  <c r="AA20" i="2" a="1"/>
  <c r="Y43" i="2" a="1"/>
  <c r="AE43" i="2" a="1"/>
  <c r="AD20" i="2" a="1"/>
  <c r="AE30" i="2" a="1"/>
  <c r="E43" i="2" a="1"/>
  <c r="L43" i="2" a="1"/>
  <c r="H43" i="2" a="1"/>
  <c r="AB43" i="2" a="1"/>
  <c r="Z30" i="2" a="1"/>
  <c r="X30" i="2" a="1"/>
  <c r="AK43" i="2" a="1"/>
  <c r="U30" i="2" a="1"/>
  <c r="K43" i="2" a="1"/>
  <c r="AH43" i="2" a="1"/>
  <c r="Y30" i="2" a="1"/>
  <c r="Q20" i="2" a="1"/>
  <c r="M43" i="2" a="1"/>
  <c r="AO43" i="2" a="1"/>
  <c r="G43" i="2" a="1"/>
  <c r="AR43" i="2" a="1"/>
  <c r="Z43" i="2" a="1"/>
  <c r="AB20" i="2" a="1"/>
  <c r="W43" i="2" a="1"/>
  <c r="AQ43" i="2" a="1"/>
  <c r="AE20" i="2" a="1"/>
  <c r="U43" i="2" a="1"/>
  <c r="T43" i="2" a="1"/>
  <c r="Z20" i="2" a="1"/>
  <c r="Y20" i="2" a="1"/>
  <c r="S30" i="2" a="1"/>
  <c r="AA30" i="2" a="1"/>
  <c r="AL43" i="2" a="1"/>
  <c r="Q43" i="2" a="1"/>
  <c r="F43" i="2" a="1"/>
  <c r="X20" i="2" a="1"/>
  <c r="AN43" i="2" a="1"/>
  <c r="W30" i="2" a="1"/>
  <c r="AP43" i="2" a="1"/>
  <c r="X43" i="2" a="1"/>
  <c r="AM43" i="2" a="1"/>
  <c r="I43" i="2" a="1"/>
  <c r="Q30" i="2" a="1"/>
  <c r="O43" i="2" a="1"/>
  <c r="N43" i="2" a="1"/>
  <c r="AA43" i="2" a="1"/>
  <c r="AC30" i="2" a="1"/>
  <c r="AC20" i="2" a="1"/>
  <c r="AI43" i="2" a="1"/>
  <c r="AD30" i="2" a="1"/>
  <c r="P43" i="2" a="1"/>
  <c r="AC43" i="2" a="1"/>
  <c r="AB30" i="2" a="1"/>
  <c r="W20" i="2" a="1"/>
  <c r="AS43" i="2" a="1"/>
  <c r="V30" i="2" a="1"/>
  <c r="S43" i="2" a="1"/>
  <c r="AJ43" i="2" a="1"/>
  <c r="AD43" i="2" a="1"/>
  <c r="T30" i="2" a="1"/>
  <c r="J43" i="2" a="1"/>
  <c r="V36" i="5" l="1"/>
  <c r="Q36" i="5"/>
  <c r="T36" i="5"/>
  <c r="O37" i="5"/>
  <c r="T37" i="5"/>
  <c r="S37" i="5"/>
  <c r="X37" i="5"/>
  <c r="V37" i="5"/>
  <c r="N37" i="5" a="1"/>
  <c r="N37" i="5" s="1"/>
  <c r="W37" i="5"/>
  <c r="R37" i="5"/>
  <c r="P37" i="5"/>
  <c r="M37" i="5" a="1"/>
  <c r="M37" i="5" s="1"/>
  <c r="U37" i="5"/>
  <c r="Q37" i="5"/>
  <c r="AB38" i="5"/>
  <c r="AA38" i="5"/>
  <c r="AD38" i="5"/>
  <c r="Z38" i="5"/>
  <c r="AC38" i="5"/>
  <c r="Y38" i="5"/>
  <c r="L38" i="5" a="1"/>
  <c r="L38" i="5" s="1"/>
  <c r="K38" i="5" a="1"/>
  <c r="K38" i="5" s="1"/>
  <c r="D38" i="5"/>
  <c r="I38" i="5" s="1" a="1"/>
  <c r="I38" i="5" s="1"/>
  <c r="F38" i="5"/>
  <c r="C40" i="5" a="1"/>
  <c r="C40" i="5" s="1"/>
  <c r="G39" i="5" a="1"/>
  <c r="G39" i="5" s="1"/>
  <c r="E39" i="5" a="1"/>
  <c r="E39" i="5" s="1"/>
  <c r="H39" i="5"/>
  <c r="J39" i="5" a="1"/>
  <c r="J39" i="5" s="1"/>
  <c r="AN43" i="2"/>
  <c r="AN7" i="2" s="1"/>
  <c r="AN6" i="2" s="1"/>
  <c r="AM43" i="2"/>
  <c r="AM7" i="2" s="1"/>
  <c r="AM6" i="2" s="1"/>
  <c r="AO43" i="2"/>
  <c r="AO7" i="2" s="1"/>
  <c r="AO6" i="2" s="1"/>
  <c r="AL43" i="2"/>
  <c r="AL7" i="2" s="1"/>
  <c r="AL6" i="2" s="1"/>
  <c r="AK43" i="2"/>
  <c r="AK7" i="2" s="1"/>
  <c r="AK6" i="2" s="1"/>
  <c r="AR43" i="2"/>
  <c r="AR7" i="2" s="1"/>
  <c r="AR6" i="2" s="1"/>
  <c r="AJ43" i="2"/>
  <c r="AJ7" i="2" s="1"/>
  <c r="AJ6" i="2" s="1"/>
  <c r="AS43" i="2"/>
  <c r="AS7" i="2" s="1"/>
  <c r="AS6" i="2" s="1"/>
  <c r="AQ43" i="2"/>
  <c r="AQ7" i="2" s="1"/>
  <c r="AQ6" i="2" s="1"/>
  <c r="AI43" i="2"/>
  <c r="AI7" i="2" s="1"/>
  <c r="AI6" i="2" s="1"/>
  <c r="AP43" i="2"/>
  <c r="AP7" i="2" s="1"/>
  <c r="AP6" i="2" s="1"/>
  <c r="AH43" i="2"/>
  <c r="AH7" i="2" s="1"/>
  <c r="AH6" i="2" s="1"/>
  <c r="S5" i="2"/>
  <c r="Q32" i="2"/>
  <c r="X43" i="2"/>
  <c r="Y30" i="2"/>
  <c r="Z20" i="2"/>
  <c r="Y43" i="2"/>
  <c r="AA20" i="2"/>
  <c r="Z43" i="2"/>
  <c r="S30" i="2"/>
  <c r="AA30" i="2"/>
  <c r="AB20" i="2"/>
  <c r="S43" i="2"/>
  <c r="AA43" i="2"/>
  <c r="T30" i="2"/>
  <c r="AB30" i="2"/>
  <c r="AC20" i="2"/>
  <c r="T43" i="2"/>
  <c r="AB43" i="2"/>
  <c r="Y20" i="2"/>
  <c r="U30" i="2"/>
  <c r="AC30" i="2"/>
  <c r="AD20" i="2"/>
  <c r="U43" i="2"/>
  <c r="AC43" i="2"/>
  <c r="V30" i="2"/>
  <c r="AD30" i="2"/>
  <c r="AE20" i="2"/>
  <c r="V43" i="2"/>
  <c r="AD43" i="2"/>
  <c r="Z30" i="2"/>
  <c r="W20" i="2"/>
  <c r="W30" i="2"/>
  <c r="AE30" i="2"/>
  <c r="W43" i="2"/>
  <c r="AE43" i="2"/>
  <c r="X20" i="2"/>
  <c r="X30" i="2"/>
  <c r="N43" i="2"/>
  <c r="M43" i="2"/>
  <c r="L43" i="2"/>
  <c r="K43" i="2"/>
  <c r="J43" i="2"/>
  <c r="I43" i="2"/>
  <c r="Q43" i="2"/>
  <c r="L37" i="5" s="1" a="1"/>
  <c r="L37" i="5" s="1"/>
  <c r="H43" i="2"/>
  <c r="P43" i="2"/>
  <c r="G43" i="2"/>
  <c r="O43" i="2"/>
  <c r="F43" i="2"/>
  <c r="E43" i="2"/>
  <c r="Q22" i="2"/>
  <c r="F9" i="2"/>
  <c r="Q30" i="2"/>
  <c r="Q20" i="2"/>
  <c r="E9" i="2"/>
  <c r="G9" i="2"/>
  <c r="H9" i="2"/>
  <c r="I9" i="2"/>
  <c r="J9" i="2"/>
  <c r="K9" i="2"/>
  <c r="L9" i="2"/>
  <c r="M9" i="2"/>
  <c r="N9" i="2"/>
  <c r="O9" i="2"/>
  <c r="P9" i="2"/>
  <c r="V32" i="2" l="1"/>
  <c r="S22" i="2"/>
  <c r="T22" i="2"/>
  <c r="U22" i="2"/>
  <c r="V22" i="2"/>
  <c r="L19" i="5" a="1"/>
  <c r="L19" i="5" s="1"/>
  <c r="U9" i="2"/>
  <c r="AE32" i="2"/>
  <c r="AD32" i="2"/>
  <c r="Y9" i="2"/>
  <c r="AE22" i="2"/>
  <c r="AA9" i="2"/>
  <c r="AC22" i="2"/>
  <c r="Y32" i="2"/>
  <c r="S9" i="2"/>
  <c r="K63" i="4" s="1" a="1"/>
  <c r="K63" i="4" s="1"/>
  <c r="L63" i="4" s="1"/>
  <c r="AB32" i="2"/>
  <c r="Y22" i="2"/>
  <c r="T9" i="2"/>
  <c r="W32" i="2"/>
  <c r="AC39" i="5"/>
  <c r="Y39" i="5"/>
  <c r="Z39" i="5"/>
  <c r="AA39" i="5"/>
  <c r="AB39" i="5"/>
  <c r="AD39" i="5"/>
  <c r="L39" i="5" a="1"/>
  <c r="L39" i="5" s="1"/>
  <c r="D39" i="5"/>
  <c r="I39" i="5" s="1" a="1"/>
  <c r="I39" i="5" s="1"/>
  <c r="F39" i="5"/>
  <c r="K39" i="5" a="1"/>
  <c r="K39" i="5" s="1"/>
  <c r="C41" i="5" a="1"/>
  <c r="C41" i="5" s="1"/>
  <c r="G40" i="5" a="1"/>
  <c r="G40" i="5" s="1"/>
  <c r="E40" i="5" a="1"/>
  <c r="E40" i="5" s="1"/>
  <c r="H40" i="5"/>
  <c r="J40" i="5" a="1"/>
  <c r="J40" i="5" s="1"/>
  <c r="M38" i="5" a="1"/>
  <c r="M38" i="5" s="1"/>
  <c r="W38" i="5"/>
  <c r="T38" i="5"/>
  <c r="U38" i="5"/>
  <c r="R38" i="5"/>
  <c r="S38" i="5"/>
  <c r="Q38" i="5"/>
  <c r="O38" i="5"/>
  <c r="V38" i="5"/>
  <c r="N38" i="5" a="1"/>
  <c r="N38" i="5" s="1"/>
  <c r="X38" i="5"/>
  <c r="P38" i="5"/>
  <c r="AA22" i="2"/>
  <c r="AB9" i="2"/>
  <c r="W22" i="2"/>
  <c r="X9" i="2"/>
  <c r="V9" i="2"/>
  <c r="U32" i="2"/>
  <c r="W9" i="2"/>
  <c r="AD9" i="2"/>
  <c r="Z9" i="2"/>
  <c r="K99" i="4" s="1" a="1"/>
  <c r="K99" i="4" s="1"/>
  <c r="P99" i="4" s="1"/>
  <c r="AA32" i="2"/>
  <c r="AB22" i="2"/>
  <c r="AC9" i="2"/>
  <c r="Z32" i="2"/>
  <c r="AC32" i="2"/>
  <c r="Z22" i="2"/>
  <c r="AD22" i="2"/>
  <c r="T32" i="2"/>
  <c r="AE9" i="2"/>
  <c r="X32" i="2"/>
  <c r="X22" i="2"/>
  <c r="S32" i="2"/>
  <c r="AG5" i="2"/>
  <c r="AC7" i="2"/>
  <c r="AC6" i="2" s="1"/>
  <c r="AE7" i="2"/>
  <c r="AE6" i="2" s="1"/>
  <c r="Y7" i="2"/>
  <c r="Y6" i="2" s="1"/>
  <c r="AB7" i="2"/>
  <c r="AB6" i="2" s="1"/>
  <c r="T7" i="2"/>
  <c r="T6" i="2" s="1"/>
  <c r="V7" i="2"/>
  <c r="V6" i="2" s="1"/>
  <c r="AD7" i="2"/>
  <c r="AD6" i="2" s="1"/>
  <c r="X7" i="2"/>
  <c r="X6" i="2" s="1"/>
  <c r="AA7" i="2"/>
  <c r="AA6" i="2" s="1"/>
  <c r="S7" i="2"/>
  <c r="S6" i="2" s="1"/>
  <c r="U7" i="2"/>
  <c r="U6" i="2" s="1"/>
  <c r="Z7" i="2"/>
  <c r="Z6" i="2" s="1"/>
  <c r="W7" i="2"/>
  <c r="W6" i="2" s="1"/>
  <c r="Q7" i="2"/>
  <c r="Q6" i="2" s="1"/>
  <c r="F7" i="2"/>
  <c r="F6" i="2" s="1"/>
  <c r="E7" i="2"/>
  <c r="E6" i="2" s="1"/>
  <c r="H7" i="2"/>
  <c r="H6" i="2" s="1"/>
  <c r="I7" i="2"/>
  <c r="I6" i="2" s="1"/>
  <c r="O7" i="2"/>
  <c r="O6" i="2" s="1"/>
  <c r="J7" i="2"/>
  <c r="J6" i="2" s="1"/>
  <c r="G7" i="2"/>
  <c r="G6" i="2" s="1"/>
  <c r="M7" i="2"/>
  <c r="M6" i="2" s="1"/>
  <c r="K7" i="2"/>
  <c r="K6" i="2" s="1"/>
  <c r="L7" i="2"/>
  <c r="L6" i="2" s="1"/>
  <c r="N7" i="2"/>
  <c r="N6" i="2" s="1"/>
  <c r="P7" i="2"/>
  <c r="P6" i="2" s="1"/>
  <c r="R18" i="5"/>
  <c r="R29" i="5"/>
  <c r="R36" i="5"/>
  <c r="K56" i="4" l="1" a="1"/>
  <c r="K56" i="4" s="1"/>
  <c r="M56" i="4" s="1"/>
  <c r="L30" i="5" a="1"/>
  <c r="L30" i="5" s="1"/>
  <c r="K88" i="4" a="1"/>
  <c r="K88" i="4" s="1"/>
  <c r="M88" i="4" s="1"/>
  <c r="L21" i="5" a="1"/>
  <c r="L21" i="5" s="1"/>
  <c r="K61" i="4" a="1"/>
  <c r="K61" i="4" s="1"/>
  <c r="M61" i="4" s="1"/>
  <c r="K80" i="4" a="1"/>
  <c r="K80" i="4" s="1"/>
  <c r="L80" i="4" s="1"/>
  <c r="Q80" i="4" s="1"/>
  <c r="K76" i="4" a="1"/>
  <c r="K76" i="4" s="1"/>
  <c r="P76" i="4" s="1"/>
  <c r="K60" i="4" a="1"/>
  <c r="K60" i="4" s="1"/>
  <c r="M60" i="4" s="1"/>
  <c r="L31" i="5" a="1"/>
  <c r="L31" i="5" s="1"/>
  <c r="K96" i="4" a="1"/>
  <c r="K96" i="4" s="1"/>
  <c r="L96" i="4" s="1"/>
  <c r="N96" i="4" s="1"/>
  <c r="K75" i="4" a="1"/>
  <c r="K75" i="4" s="1"/>
  <c r="M75" i="4" s="1"/>
  <c r="K100" i="4" a="1"/>
  <c r="K100" i="4" s="1"/>
  <c r="M100" i="4" s="1"/>
  <c r="L24" i="5" a="1"/>
  <c r="L24" i="5" s="1"/>
  <c r="L34" i="5" a="1"/>
  <c r="L34" i="5" s="1"/>
  <c r="L23" i="5" a="1"/>
  <c r="L23" i="5" s="1"/>
  <c r="L14" i="5" a="1"/>
  <c r="L14" i="5" s="1"/>
  <c r="K101" i="4" a="1"/>
  <c r="K101" i="4" s="1"/>
  <c r="M101" i="4" s="1"/>
  <c r="L33" i="5" a="1"/>
  <c r="L33" i="5" s="1"/>
  <c r="K92" i="4" a="1"/>
  <c r="K92" i="4" s="1"/>
  <c r="P92" i="4" s="1"/>
  <c r="K93" i="4" a="1"/>
  <c r="K93" i="4" s="1"/>
  <c r="P93" i="4" s="1"/>
  <c r="K69" i="4" a="1"/>
  <c r="K69" i="4" s="1"/>
  <c r="M69" i="4" s="1"/>
  <c r="L27" i="5" a="1"/>
  <c r="L27" i="5" s="1"/>
  <c r="K72" i="4" a="1"/>
  <c r="K72" i="4" s="1"/>
  <c r="L72" i="4" s="1"/>
  <c r="O72" i="4" s="1"/>
  <c r="L17" i="5" a="1"/>
  <c r="L17" i="5" s="1"/>
  <c r="L26" i="5" a="1"/>
  <c r="L26" i="5" s="1"/>
  <c r="L25" i="5" a="1"/>
  <c r="L25" i="5" s="1"/>
  <c r="L18" i="5" a="1"/>
  <c r="L18" i="5" s="1"/>
  <c r="K89" i="4" a="1"/>
  <c r="K89" i="4" s="1"/>
  <c r="P89" i="4" s="1"/>
  <c r="L32" i="5" a="1"/>
  <c r="L32" i="5" s="1"/>
  <c r="L15" i="5" a="1"/>
  <c r="L15" i="5" s="1"/>
  <c r="L36" i="5" a="1"/>
  <c r="L36" i="5" s="1"/>
  <c r="K57" i="4" a="1"/>
  <c r="K57" i="4" s="1"/>
  <c r="P57" i="4" s="1"/>
  <c r="K85" i="4" a="1"/>
  <c r="K85" i="4" s="1"/>
  <c r="L85" i="4" s="1"/>
  <c r="Q85" i="4" s="1"/>
  <c r="K71" i="4" a="1"/>
  <c r="K71" i="4" s="1"/>
  <c r="L71" i="4" s="1"/>
  <c r="Q71" i="4" s="1"/>
  <c r="L35" i="5" a="1"/>
  <c r="L35" i="5" s="1"/>
  <c r="K68" i="4" a="1"/>
  <c r="K68" i="4" s="1"/>
  <c r="M68" i="4" s="1"/>
  <c r="K91" i="4" a="1"/>
  <c r="K91" i="4" s="1"/>
  <c r="P91" i="4" s="1"/>
  <c r="K84" i="4" a="1"/>
  <c r="K84" i="4" s="1"/>
  <c r="M84" i="4" s="1"/>
  <c r="K59" i="4" a="1"/>
  <c r="K59" i="4" s="1"/>
  <c r="M59" i="4" s="1"/>
  <c r="K65" i="4" a="1"/>
  <c r="K65" i="4" s="1"/>
  <c r="M65" i="4" s="1"/>
  <c r="K95" i="4" a="1"/>
  <c r="K95" i="4" s="1"/>
  <c r="P95" i="4" s="1"/>
  <c r="K81" i="4" a="1"/>
  <c r="K81" i="4" s="1"/>
  <c r="M81" i="4" s="1"/>
  <c r="K55" i="4" a="1"/>
  <c r="K55" i="4" s="1"/>
  <c r="P55" i="4" s="1"/>
  <c r="L28" i="5" a="1"/>
  <c r="L28" i="5" s="1"/>
  <c r="K87" i="4" a="1"/>
  <c r="K87" i="4" s="1"/>
  <c r="M87" i="4" s="1"/>
  <c r="K67" i="4" a="1"/>
  <c r="K67" i="4" s="1"/>
  <c r="P67" i="4" s="1"/>
  <c r="L22" i="5" a="1"/>
  <c r="L22" i="5" s="1"/>
  <c r="K77" i="4" a="1"/>
  <c r="K77" i="4" s="1"/>
  <c r="L77" i="4" s="1"/>
  <c r="R77" i="4" s="1"/>
  <c r="L16" i="5" a="1"/>
  <c r="L16" i="5" s="1"/>
  <c r="L29" i="5" a="1"/>
  <c r="L29" i="5" s="1"/>
  <c r="K83" i="4" a="1"/>
  <c r="K83" i="4" s="1"/>
  <c r="M83" i="4" s="1"/>
  <c r="K73" i="4" a="1"/>
  <c r="K73" i="4" s="1"/>
  <c r="P73" i="4" s="1"/>
  <c r="K97" i="4" a="1"/>
  <c r="K97" i="4" s="1"/>
  <c r="L97" i="4" s="1"/>
  <c r="Q97" i="4" s="1"/>
  <c r="K64" i="4" a="1"/>
  <c r="K64" i="4" s="1"/>
  <c r="M64" i="4" s="1"/>
  <c r="K79" i="4" a="1"/>
  <c r="K79" i="4" s="1"/>
  <c r="P79" i="4" s="1"/>
  <c r="S36" i="5"/>
  <c r="S18" i="5"/>
  <c r="L99" i="4"/>
  <c r="R99" i="4" s="1"/>
  <c r="P63" i="4"/>
  <c r="M99" i="4"/>
  <c r="S29" i="5"/>
  <c r="M63" i="4"/>
  <c r="Q63" i="4"/>
  <c r="R63" i="4"/>
  <c r="N63" i="4"/>
  <c r="O63" i="4"/>
  <c r="Z40" i="5"/>
  <c r="Y40" i="5"/>
  <c r="L40" i="5" a="1"/>
  <c r="L40" i="5" s="1"/>
  <c r="AA40" i="5"/>
  <c r="AB40" i="5"/>
  <c r="AD40" i="5"/>
  <c r="AC40" i="5"/>
  <c r="D40" i="5"/>
  <c r="I40" i="5" s="1" a="1"/>
  <c r="I40" i="5" s="1"/>
  <c r="K40" i="5" a="1"/>
  <c r="K40" i="5" s="1"/>
  <c r="F40" i="5"/>
  <c r="N39" i="5" a="1"/>
  <c r="N39" i="5" s="1"/>
  <c r="X39" i="5"/>
  <c r="U39" i="5"/>
  <c r="R39" i="5"/>
  <c r="W39" i="5"/>
  <c r="T39" i="5"/>
  <c r="P39" i="5"/>
  <c r="M39" i="5" a="1"/>
  <c r="M39" i="5" s="1"/>
  <c r="Q39" i="5"/>
  <c r="V39" i="5"/>
  <c r="S39" i="5"/>
  <c r="O39" i="5"/>
  <c r="C42" i="5" a="1"/>
  <c r="C42" i="5" s="1"/>
  <c r="G41" i="5" a="1"/>
  <c r="G41" i="5" s="1"/>
  <c r="E41" i="5" a="1"/>
  <c r="E41" i="5" s="1"/>
  <c r="H41" i="5"/>
  <c r="J41" i="5" a="1"/>
  <c r="J41" i="5" s="1"/>
  <c r="AR9" i="2"/>
  <c r="AS9" i="2"/>
  <c r="AJ9" i="2"/>
  <c r="AK9" i="2"/>
  <c r="AL9" i="2"/>
  <c r="AN9" i="2"/>
  <c r="AQ9" i="2"/>
  <c r="AG9" i="2"/>
  <c r="AM9" i="2"/>
  <c r="AP9" i="2"/>
  <c r="AH9" i="2"/>
  <c r="AI9" i="2"/>
  <c r="AO9" i="2"/>
  <c r="AG22" i="2"/>
  <c r="AH22" i="2"/>
  <c r="AI22" i="2"/>
  <c r="AJ22" i="2"/>
  <c r="AK22" i="2"/>
  <c r="AM22" i="2"/>
  <c r="AN22" i="2"/>
  <c r="AO22" i="2"/>
  <c r="AP22" i="2"/>
  <c r="AQ22" i="2"/>
  <c r="AR22" i="2"/>
  <c r="AL22" i="2"/>
  <c r="AS22" i="2"/>
  <c r="AG32" i="2"/>
  <c r="AJ32" i="2"/>
  <c r="AK32" i="2"/>
  <c r="AM32" i="2"/>
  <c r="AN32" i="2"/>
  <c r="AP32" i="2"/>
  <c r="AS32" i="2"/>
  <c r="AH32" i="2"/>
  <c r="AL32" i="2"/>
  <c r="AO32" i="2"/>
  <c r="AR32" i="2"/>
  <c r="AI32" i="2"/>
  <c r="AQ32" i="2"/>
  <c r="U18" i="5"/>
  <c r="R28" i="5"/>
  <c r="R34" i="5"/>
  <c r="R35" i="5"/>
  <c r="R27" i="5"/>
  <c r="U29" i="5"/>
  <c r="U36" i="5"/>
  <c r="R14" i="5"/>
  <c r="R22" i="5"/>
  <c r="R26" i="5"/>
  <c r="R17" i="5"/>
  <c r="R30" i="5"/>
  <c r="R23" i="5"/>
  <c r="R15" i="5"/>
  <c r="R33" i="5"/>
  <c r="R16" i="5"/>
  <c r="R32" i="5"/>
  <c r="R25" i="5"/>
  <c r="R24" i="5"/>
  <c r="R31" i="5"/>
  <c r="R21" i="5"/>
  <c r="L88" i="4" l="1"/>
  <c r="N88" i="4" s="1"/>
  <c r="L92" i="4"/>
  <c r="Q92" i="4" s="1"/>
  <c r="P88" i="4"/>
  <c r="M93" i="4"/>
  <c r="M71" i="4"/>
  <c r="P71" i="4"/>
  <c r="N71" i="4"/>
  <c r="O71" i="4"/>
  <c r="R71" i="4"/>
  <c r="L56" i="4"/>
  <c r="N56" i="4" s="1"/>
  <c r="P56" i="4"/>
  <c r="L60" i="4"/>
  <c r="R60" i="4" s="1"/>
  <c r="P60" i="4"/>
  <c r="M92" i="4"/>
  <c r="L68" i="4"/>
  <c r="Q68" i="4" s="1"/>
  <c r="O85" i="4"/>
  <c r="N85" i="4"/>
  <c r="L101" i="4"/>
  <c r="Q101" i="4" s="1"/>
  <c r="P61" i="4"/>
  <c r="P68" i="4"/>
  <c r="L76" i="4"/>
  <c r="Q76" i="4" s="1"/>
  <c r="O96" i="4"/>
  <c r="R96" i="4"/>
  <c r="Q96" i="4"/>
  <c r="L75" i="4"/>
  <c r="O75" i="4" s="1"/>
  <c r="O80" i="4"/>
  <c r="M80" i="4"/>
  <c r="P80" i="4"/>
  <c r="N80" i="4"/>
  <c r="R80" i="4"/>
  <c r="P75" i="4"/>
  <c r="L69" i="4"/>
  <c r="O69" i="4" s="1"/>
  <c r="M76" i="4"/>
  <c r="L61" i="4"/>
  <c r="R61" i="4" s="1"/>
  <c r="L93" i="4"/>
  <c r="Q93" i="4" s="1"/>
  <c r="P100" i="4"/>
  <c r="L64" i="4"/>
  <c r="Q64" i="4" s="1"/>
  <c r="M96" i="4"/>
  <c r="P96" i="4"/>
  <c r="L87" i="4"/>
  <c r="Q87" i="4" s="1"/>
  <c r="P77" i="4"/>
  <c r="L65" i="4"/>
  <c r="Q65" i="4" s="1"/>
  <c r="M67" i="4"/>
  <c r="S30" i="5"/>
  <c r="N77" i="4"/>
  <c r="L57" i="4"/>
  <c r="N57" i="4" s="1"/>
  <c r="L67" i="4"/>
  <c r="N67" i="4" s="1"/>
  <c r="L100" i="4"/>
  <c r="R100" i="4" s="1"/>
  <c r="P64" i="4"/>
  <c r="O77" i="4"/>
  <c r="M57" i="4"/>
  <c r="P87" i="4"/>
  <c r="S31" i="5"/>
  <c r="L91" i="4"/>
  <c r="Q91" i="4" s="1"/>
  <c r="P69" i="4"/>
  <c r="M91" i="4"/>
  <c r="O97" i="4"/>
  <c r="L73" i="4"/>
  <c r="N73" i="4" s="1"/>
  <c r="N97" i="4"/>
  <c r="M73" i="4"/>
  <c r="R97" i="4"/>
  <c r="M97" i="4"/>
  <c r="L55" i="4"/>
  <c r="Q55" i="4" s="1"/>
  <c r="L89" i="4"/>
  <c r="N89" i="4" s="1"/>
  <c r="M55" i="4"/>
  <c r="Q77" i="4"/>
  <c r="M89" i="4"/>
  <c r="L83" i="4"/>
  <c r="R83" i="4" s="1"/>
  <c r="S25" i="5"/>
  <c r="S26" i="5"/>
  <c r="S17" i="5"/>
  <c r="S27" i="5"/>
  <c r="S35" i="5"/>
  <c r="S33" i="5"/>
  <c r="S16" i="5"/>
  <c r="S14" i="5"/>
  <c r="S22" i="5"/>
  <c r="S21" i="5"/>
  <c r="S23" i="5"/>
  <c r="S15" i="5"/>
  <c r="S34" i="5"/>
  <c r="S32" i="5"/>
  <c r="S24" i="5"/>
  <c r="S28" i="5"/>
  <c r="P72" i="4"/>
  <c r="L95" i="4"/>
  <c r="R95" i="4" s="1"/>
  <c r="L59" i="4"/>
  <c r="N59" i="4" s="1"/>
  <c r="L79" i="4"/>
  <c r="Q79" i="4" s="1"/>
  <c r="M79" i="4"/>
  <c r="Q72" i="4"/>
  <c r="M95" i="4"/>
  <c r="M85" i="4"/>
  <c r="P83" i="4"/>
  <c r="P97" i="4"/>
  <c r="P84" i="4"/>
  <c r="P85" i="4"/>
  <c r="R72" i="4"/>
  <c r="P65" i="4"/>
  <c r="L84" i="4"/>
  <c r="N84" i="4" s="1"/>
  <c r="M77" i="4"/>
  <c r="N72" i="4"/>
  <c r="R85" i="4"/>
  <c r="P101" i="4"/>
  <c r="P81" i="4"/>
  <c r="M72" i="4"/>
  <c r="L81" i="4"/>
  <c r="N81" i="4" s="1"/>
  <c r="P59" i="4"/>
  <c r="N92" i="4"/>
  <c r="O92" i="4"/>
  <c r="R92" i="4"/>
  <c r="Q88" i="4"/>
  <c r="R88" i="4"/>
  <c r="O88" i="4"/>
  <c r="N99" i="4"/>
  <c r="O99" i="4"/>
  <c r="Q99" i="4"/>
  <c r="Z41" i="5"/>
  <c r="AD41" i="5"/>
  <c r="AB41" i="5"/>
  <c r="AA41" i="5"/>
  <c r="Y41" i="5"/>
  <c r="AC41" i="5"/>
  <c r="L41" i="5" a="1"/>
  <c r="L41" i="5" s="1"/>
  <c r="D41" i="5"/>
  <c r="I41" i="5" s="1" a="1"/>
  <c r="I41" i="5" s="1"/>
  <c r="K41" i="5" a="1"/>
  <c r="K41" i="5" s="1"/>
  <c r="F41" i="5"/>
  <c r="C43" i="5" a="1"/>
  <c r="C43" i="5" s="1"/>
  <c r="G42" i="5" a="1"/>
  <c r="G42" i="5" s="1"/>
  <c r="E42" i="5" a="1"/>
  <c r="E42" i="5" s="1"/>
  <c r="H42" i="5"/>
  <c r="J42" i="5" a="1"/>
  <c r="J42" i="5" s="1"/>
  <c r="W40" i="5"/>
  <c r="N40" i="5" a="1"/>
  <c r="N40" i="5" s="1"/>
  <c r="U40" i="5"/>
  <c r="Q40" i="5"/>
  <c r="S40" i="5"/>
  <c r="M40" i="5" a="1"/>
  <c r="M40" i="5" s="1"/>
  <c r="O40" i="5"/>
  <c r="X40" i="5"/>
  <c r="V40" i="5"/>
  <c r="P40" i="5"/>
  <c r="T40" i="5"/>
  <c r="R40" i="5"/>
  <c r="W18" i="5"/>
  <c r="U27" i="5"/>
  <c r="U35" i="5"/>
  <c r="U34" i="5"/>
  <c r="U28" i="5"/>
  <c r="W35" i="5"/>
  <c r="W28" i="5"/>
  <c r="W36" i="5"/>
  <c r="W29" i="5"/>
  <c r="W34" i="5"/>
  <c r="W27" i="5"/>
  <c r="U17" i="5"/>
  <c r="U32" i="5"/>
  <c r="U26" i="5"/>
  <c r="U25" i="5"/>
  <c r="U31" i="5"/>
  <c r="U24" i="5"/>
  <c r="U16" i="5"/>
  <c r="U22" i="5"/>
  <c r="U14" i="5"/>
  <c r="U21" i="5"/>
  <c r="U23" i="5"/>
  <c r="U30" i="5"/>
  <c r="U33" i="5"/>
  <c r="U15" i="5"/>
  <c r="N60" i="4" l="1"/>
  <c r="Q60" i="4"/>
  <c r="O60" i="4"/>
  <c r="Q56" i="4"/>
  <c r="O56" i="4"/>
  <c r="R56" i="4"/>
  <c r="O76" i="4"/>
  <c r="R76" i="4"/>
  <c r="R68" i="4"/>
  <c r="N68" i="4"/>
  <c r="N75" i="4"/>
  <c r="O87" i="4"/>
  <c r="O68" i="4"/>
  <c r="O101" i="4"/>
  <c r="N101" i="4"/>
  <c r="R101" i="4"/>
  <c r="R69" i="4"/>
  <c r="R73" i="4"/>
  <c r="Q73" i="4"/>
  <c r="Q75" i="4"/>
  <c r="N76" i="4"/>
  <c r="R75" i="4"/>
  <c r="N69" i="4"/>
  <c r="Q61" i="4"/>
  <c r="Q69" i="4"/>
  <c r="O64" i="4"/>
  <c r="N61" i="4"/>
  <c r="N93" i="4"/>
  <c r="N87" i="4"/>
  <c r="R79" i="4"/>
  <c r="N79" i="4"/>
  <c r="O61" i="4"/>
  <c r="R93" i="4"/>
  <c r="R87" i="4"/>
  <c r="N55" i="4"/>
  <c r="R64" i="4"/>
  <c r="O93" i="4"/>
  <c r="Q57" i="4"/>
  <c r="R67" i="4"/>
  <c r="O57" i="4"/>
  <c r="R57" i="4"/>
  <c r="O67" i="4"/>
  <c r="Q67" i="4"/>
  <c r="Q81" i="4"/>
  <c r="Q100" i="4"/>
  <c r="N65" i="4"/>
  <c r="O65" i="4"/>
  <c r="N100" i="4"/>
  <c r="O100" i="4"/>
  <c r="O73" i="4"/>
  <c r="N64" i="4"/>
  <c r="R81" i="4"/>
  <c r="O89" i="4"/>
  <c r="Q89" i="4"/>
  <c r="R89" i="4"/>
  <c r="R65" i="4"/>
  <c r="N91" i="4"/>
  <c r="O91" i="4"/>
  <c r="N83" i="4"/>
  <c r="O83" i="4"/>
  <c r="O59" i="4"/>
  <c r="O95" i="4"/>
  <c r="R91" i="4"/>
  <c r="Q95" i="4"/>
  <c r="O79" i="4"/>
  <c r="Q59" i="4"/>
  <c r="N95" i="4"/>
  <c r="O81" i="4"/>
  <c r="R55" i="4"/>
  <c r="R59" i="4"/>
  <c r="O55" i="4"/>
  <c r="Q83" i="4"/>
  <c r="Q84" i="4"/>
  <c r="O84" i="4"/>
  <c r="R84" i="4"/>
  <c r="X36" i="5"/>
  <c r="X35" i="5"/>
  <c r="X34" i="5"/>
  <c r="X27" i="5"/>
  <c r="X18" i="5"/>
  <c r="X29" i="5"/>
  <c r="X28" i="5"/>
  <c r="D42" i="5"/>
  <c r="I42" i="5" s="1" a="1"/>
  <c r="I42" i="5" s="1"/>
  <c r="F42" i="5"/>
  <c r="K42" i="5" a="1"/>
  <c r="K42" i="5" s="1"/>
  <c r="C44" i="5" a="1"/>
  <c r="C44" i="5" s="1"/>
  <c r="G43" i="5" a="1"/>
  <c r="G43" i="5" s="1"/>
  <c r="H43" i="5"/>
  <c r="E43" i="5" a="1"/>
  <c r="E43" i="5" s="1"/>
  <c r="J43" i="5" a="1"/>
  <c r="J43" i="5" s="1"/>
  <c r="N41" i="5" a="1"/>
  <c r="N41" i="5" s="1"/>
  <c r="R41" i="5"/>
  <c r="P41" i="5"/>
  <c r="M41" i="5" a="1"/>
  <c r="M41" i="5" s="1"/>
  <c r="W41" i="5"/>
  <c r="U41" i="5"/>
  <c r="O41" i="5"/>
  <c r="S41" i="5"/>
  <c r="V41" i="5"/>
  <c r="Q41" i="5"/>
  <c r="T41" i="5"/>
  <c r="X41" i="5"/>
  <c r="Z42" i="5"/>
  <c r="AB42" i="5"/>
  <c r="AC42" i="5"/>
  <c r="AD42" i="5"/>
  <c r="L42" i="5" a="1"/>
  <c r="L42" i="5" s="1"/>
  <c r="AA42" i="5"/>
  <c r="Y42" i="5"/>
  <c r="W33" i="5"/>
  <c r="W21" i="5"/>
  <c r="W17" i="5"/>
  <c r="W16" i="5"/>
  <c r="W30" i="5"/>
  <c r="W25" i="5"/>
  <c r="W22" i="5"/>
  <c r="W26" i="5"/>
  <c r="W15" i="5"/>
  <c r="W14" i="5"/>
  <c r="W31" i="5"/>
  <c r="W24" i="5"/>
  <c r="W23" i="5"/>
  <c r="W32" i="5"/>
  <c r="X26" i="5" l="1"/>
  <c r="X25" i="5"/>
  <c r="X24" i="5"/>
  <c r="X21" i="5"/>
  <c r="X23" i="5"/>
  <c r="X22" i="5"/>
  <c r="Z27" i="5" s="1"/>
  <c r="X33" i="5"/>
  <c r="X16" i="5"/>
  <c r="X17" i="5"/>
  <c r="X15" i="5"/>
  <c r="X14" i="5"/>
  <c r="Z16" i="5" s="1"/>
  <c r="X30" i="5"/>
  <c r="X31" i="5"/>
  <c r="X32" i="5"/>
  <c r="Y37" i="5"/>
  <c r="AA37" i="5"/>
  <c r="Z37" i="5"/>
  <c r="AD37" i="5"/>
  <c r="AA36" i="5"/>
  <c r="Y36" i="5"/>
  <c r="Z36" i="5"/>
  <c r="F39" i="4" a="1"/>
  <c r="F39" i="4" s="1"/>
  <c r="Y19" i="5"/>
  <c r="Z19" i="5"/>
  <c r="AA19" i="5"/>
  <c r="AA35" i="5"/>
  <c r="Y35" i="5"/>
  <c r="Z35" i="5"/>
  <c r="F37" i="4" a="1"/>
  <c r="F37" i="4" s="1"/>
  <c r="AJ18" i="5" s="1"/>
  <c r="F41" i="4" a="1"/>
  <c r="F41" i="4" s="1"/>
  <c r="Z29" i="5"/>
  <c r="AA29" i="5"/>
  <c r="Z28" i="5"/>
  <c r="AA28" i="5"/>
  <c r="Y28" i="5"/>
  <c r="D43" i="5"/>
  <c r="I43" i="5" s="1" a="1"/>
  <c r="I43" i="5" s="1"/>
  <c r="F43" i="5"/>
  <c r="K43" i="5" a="1"/>
  <c r="K43" i="5" s="1"/>
  <c r="Z43" i="5"/>
  <c r="Y43" i="5"/>
  <c r="AC43" i="5"/>
  <c r="AB43" i="5"/>
  <c r="AD43" i="5"/>
  <c r="L43" i="5" a="1"/>
  <c r="L43" i="5" s="1"/>
  <c r="AA43" i="5"/>
  <c r="C45" i="5" a="1"/>
  <c r="C45" i="5" s="1"/>
  <c r="H44" i="5"/>
  <c r="G44" i="5" a="1"/>
  <c r="G44" i="5" s="1"/>
  <c r="E44" i="5" a="1"/>
  <c r="E44" i="5" s="1"/>
  <c r="J44" i="5" a="1"/>
  <c r="J44" i="5" s="1"/>
  <c r="O42" i="5"/>
  <c r="Q42" i="5"/>
  <c r="X42" i="5"/>
  <c r="N42" i="5" a="1"/>
  <c r="N42" i="5" s="1"/>
  <c r="V42" i="5"/>
  <c r="M42" i="5" a="1"/>
  <c r="M42" i="5" s="1"/>
  <c r="T42" i="5"/>
  <c r="P42" i="5"/>
  <c r="S42" i="5"/>
  <c r="R42" i="5"/>
  <c r="W42" i="5"/>
  <c r="U42" i="5"/>
  <c r="Y25" i="5" l="1"/>
  <c r="Y29" i="5"/>
  <c r="AA27" i="5"/>
  <c r="AA21" i="5"/>
  <c r="AA24" i="5"/>
  <c r="Z22" i="5"/>
  <c r="J35" i="4" a="1"/>
  <c r="J35" i="4" s="1"/>
  <c r="I35" i="4" s="1" a="1"/>
  <c r="I35" i="4" s="1"/>
  <c r="AI29" i="5" s="1"/>
  <c r="Y22" i="5"/>
  <c r="J38" i="4" a="1"/>
  <c r="J38" i="4" s="1"/>
  <c r="I38" i="4" s="1" a="1"/>
  <c r="I38" i="4" s="1"/>
  <c r="AI32" i="5" s="1"/>
  <c r="J37" i="4" a="1"/>
  <c r="J37" i="4" s="1"/>
  <c r="I37" i="4" s="1" a="1"/>
  <c r="I37" i="4" s="1"/>
  <c r="AI31" i="5" s="1"/>
  <c r="AA25" i="5"/>
  <c r="Y23" i="5"/>
  <c r="Z17" i="5"/>
  <c r="F36" i="4" a="1"/>
  <c r="F36" i="4" s="1"/>
  <c r="AJ17" i="5" s="1"/>
  <c r="Y24" i="5"/>
  <c r="Y21" i="5"/>
  <c r="Y18" i="5"/>
  <c r="AA18" i="5"/>
  <c r="AA23" i="5"/>
  <c r="Z21" i="5"/>
  <c r="AC21" i="5" s="1"/>
  <c r="AA16" i="5"/>
  <c r="AB16" i="5" s="1"/>
  <c r="J41" i="4" a="1"/>
  <c r="J41" i="4" s="1"/>
  <c r="AJ35" i="5" s="1"/>
  <c r="F35" i="4" a="1"/>
  <c r="F35" i="4" s="1"/>
  <c r="E35" i="4" s="1" a="1"/>
  <c r="E35" i="4" s="1"/>
  <c r="AI16" i="5" s="1"/>
  <c r="Z14" i="5"/>
  <c r="F38" i="4" a="1"/>
  <c r="F38" i="4" s="1"/>
  <c r="AJ19" i="5" s="1"/>
  <c r="Y14" i="5"/>
  <c r="Z24" i="5"/>
  <c r="AA14" i="5"/>
  <c r="Z15" i="5"/>
  <c r="J36" i="4" a="1"/>
  <c r="J36" i="4" s="1"/>
  <c r="I36" i="4" s="1" a="1"/>
  <c r="I36" i="4" s="1"/>
  <c r="AI30" i="5" s="1"/>
  <c r="Y15" i="5"/>
  <c r="Y27" i="5"/>
  <c r="Z23" i="5"/>
  <c r="Y16" i="5"/>
  <c r="AA22" i="5"/>
  <c r="Z25" i="5"/>
  <c r="Z18" i="5"/>
  <c r="Z26" i="5"/>
  <c r="Y20" i="5"/>
  <c r="J39" i="4" a="1"/>
  <c r="J39" i="4" s="1"/>
  <c r="I39" i="4" s="1" a="1"/>
  <c r="I39" i="4" s="1"/>
  <c r="AI33" i="5" s="1"/>
  <c r="AA15" i="5"/>
  <c r="AA26" i="5"/>
  <c r="AC26" i="5" s="1"/>
  <c r="Y26" i="5"/>
  <c r="AA17" i="5"/>
  <c r="Y17" i="5"/>
  <c r="N36" i="4" a="1"/>
  <c r="N36" i="4" s="1"/>
  <c r="M36" i="4" s="1" a="1"/>
  <c r="M36" i="4" s="1"/>
  <c r="AP30" i="5" s="1"/>
  <c r="N38" i="4" a="1"/>
  <c r="N38" i="4" s="1"/>
  <c r="M38" i="4" s="1" a="1"/>
  <c r="M38" i="4" s="1"/>
  <c r="AP32" i="5" s="1"/>
  <c r="Z33" i="5"/>
  <c r="AA31" i="5"/>
  <c r="Y31" i="5"/>
  <c r="AA33" i="5"/>
  <c r="Y32" i="5"/>
  <c r="N41" i="4" a="1"/>
  <c r="N41" i="4" s="1"/>
  <c r="AQ35" i="5" s="1"/>
  <c r="Z30" i="5"/>
  <c r="N35" i="4" a="1"/>
  <c r="N35" i="4" s="1"/>
  <c r="M35" i="4" s="1" a="1"/>
  <c r="M35" i="4" s="1"/>
  <c r="AP29" i="5" s="1"/>
  <c r="Y30" i="5"/>
  <c r="Z31" i="5"/>
  <c r="AA30" i="5"/>
  <c r="N37" i="4" a="1"/>
  <c r="N37" i="4" s="1"/>
  <c r="M37" i="4" s="1" a="1"/>
  <c r="M37" i="4" s="1"/>
  <c r="AP31" i="5" s="1"/>
  <c r="AA32" i="5"/>
  <c r="AA34" i="5"/>
  <c r="Y33" i="5"/>
  <c r="Z32" i="5"/>
  <c r="Z34" i="5"/>
  <c r="Y34" i="5"/>
  <c r="AB37" i="5"/>
  <c r="AC37" i="5"/>
  <c r="AD36" i="5"/>
  <c r="AB36" i="5"/>
  <c r="AC36" i="5"/>
  <c r="AD35" i="5"/>
  <c r="AJ22" i="5"/>
  <c r="AB35" i="5"/>
  <c r="AC35" i="5"/>
  <c r="AD19" i="5"/>
  <c r="AC19" i="5"/>
  <c r="AB19" i="5"/>
  <c r="E39" i="4" a="1"/>
  <c r="E39" i="4" s="1"/>
  <c r="AI20" i="5" s="1"/>
  <c r="AJ20" i="5"/>
  <c r="E37" i="4" a="1"/>
  <c r="E37" i="4" s="1"/>
  <c r="AI18" i="5" s="1"/>
  <c r="AC27" i="5"/>
  <c r="AD27" i="5"/>
  <c r="AB27" i="5"/>
  <c r="AD28" i="5"/>
  <c r="AB29" i="5"/>
  <c r="AC29" i="5"/>
  <c r="AD29" i="5"/>
  <c r="AB28" i="5"/>
  <c r="AC28" i="5"/>
  <c r="AB21" i="5"/>
  <c r="AD21" i="5"/>
  <c r="C46" i="5" a="1"/>
  <c r="C46" i="5" s="1"/>
  <c r="E45" i="5" a="1"/>
  <c r="E45" i="5" s="1"/>
  <c r="H45" i="5"/>
  <c r="G45" i="5" a="1"/>
  <c r="G45" i="5" s="1"/>
  <c r="J45" i="5" a="1"/>
  <c r="J45" i="5" s="1"/>
  <c r="AC44" i="5"/>
  <c r="Y44" i="5"/>
  <c r="Z44" i="5"/>
  <c r="AB44" i="5"/>
  <c r="L44" i="5" a="1"/>
  <c r="L44" i="5" s="1"/>
  <c r="AA44" i="5"/>
  <c r="AD44" i="5"/>
  <c r="D44" i="5"/>
  <c r="I44" i="5" s="1" a="1"/>
  <c r="I44" i="5" s="1"/>
  <c r="K44" i="5" a="1"/>
  <c r="K44" i="5" s="1"/>
  <c r="F44" i="5"/>
  <c r="S43" i="5"/>
  <c r="Q43" i="5"/>
  <c r="N43" i="5" a="1"/>
  <c r="N43" i="5" s="1"/>
  <c r="U43" i="5"/>
  <c r="V43" i="5"/>
  <c r="O43" i="5"/>
  <c r="P43" i="5"/>
  <c r="X43" i="5"/>
  <c r="W43" i="5"/>
  <c r="T43" i="5"/>
  <c r="R43" i="5"/>
  <c r="M43" i="5" a="1"/>
  <c r="M43" i="5" s="1"/>
  <c r="AD22" i="5" l="1"/>
  <c r="AD24" i="5"/>
  <c r="AC16" i="5"/>
  <c r="AD16" i="5"/>
  <c r="AB22" i="5"/>
  <c r="AJ32" i="5"/>
  <c r="AB24" i="5"/>
  <c r="AB25" i="5"/>
  <c r="AB17" i="5"/>
  <c r="AC23" i="5"/>
  <c r="AJ31" i="5"/>
  <c r="AC18" i="5"/>
  <c r="E36" i="4" a="1"/>
  <c r="E36" i="4" s="1"/>
  <c r="AI17" i="5" s="1"/>
  <c r="AB23" i="5"/>
  <c r="AJ29" i="5"/>
  <c r="AD18" i="5"/>
  <c r="AC24" i="5"/>
  <c r="AC25" i="5"/>
  <c r="AC22" i="5"/>
  <c r="AD23" i="5"/>
  <c r="E38" i="4" a="1"/>
  <c r="E38" i="4" s="1"/>
  <c r="AI19" i="5" s="1"/>
  <c r="AB15" i="5"/>
  <c r="AD25" i="5"/>
  <c r="AC15" i="5"/>
  <c r="AB18" i="5"/>
  <c r="AB14" i="5"/>
  <c r="AD26" i="5"/>
  <c r="AB26" i="5"/>
  <c r="F40" i="4"/>
  <c r="AJ21" i="5" s="1"/>
  <c r="AC14" i="5"/>
  <c r="AD14" i="5"/>
  <c r="AJ33" i="5"/>
  <c r="J40" i="4"/>
  <c r="I40" i="4" s="1"/>
  <c r="AI34" i="5" s="1"/>
  <c r="AD17" i="5"/>
  <c r="AJ16" i="5"/>
  <c r="AC17" i="5"/>
  <c r="AJ30" i="5"/>
  <c r="AD15" i="5"/>
  <c r="AQ30" i="5"/>
  <c r="AC30" i="5"/>
  <c r="AB33" i="5"/>
  <c r="AQ32" i="5"/>
  <c r="AB31" i="5"/>
  <c r="AD33" i="5"/>
  <c r="E25" i="4"/>
  <c r="E26" i="4" s="1"/>
  <c r="AC31" i="5"/>
  <c r="AC33" i="5"/>
  <c r="AD30" i="5"/>
  <c r="AD31" i="5"/>
  <c r="AB32" i="5"/>
  <c r="AD32" i="5"/>
  <c r="AB30" i="5"/>
  <c r="N40" i="4"/>
  <c r="M40" i="4" s="1"/>
  <c r="AP34" i="5" s="1"/>
  <c r="AQ31" i="5"/>
  <c r="AQ29" i="5"/>
  <c r="AD34" i="5"/>
  <c r="AB34" i="5"/>
  <c r="AC34" i="5"/>
  <c r="AC32" i="5"/>
  <c r="M44" i="5" a="1"/>
  <c r="M44" i="5" s="1"/>
  <c r="W44" i="5"/>
  <c r="N44" i="5" a="1"/>
  <c r="N44" i="5" s="1"/>
  <c r="S44" i="5"/>
  <c r="X44" i="5"/>
  <c r="O44" i="5"/>
  <c r="Q44" i="5"/>
  <c r="V44" i="5"/>
  <c r="U44" i="5"/>
  <c r="T44" i="5"/>
  <c r="P44" i="5"/>
  <c r="R44" i="5"/>
  <c r="AC45" i="5"/>
  <c r="AB45" i="5"/>
  <c r="Y45" i="5"/>
  <c r="Z45" i="5"/>
  <c r="AD45" i="5"/>
  <c r="AA45" i="5"/>
  <c r="L45" i="5" a="1"/>
  <c r="L45" i="5" s="1"/>
  <c r="K45" i="5" a="1"/>
  <c r="K45" i="5" s="1"/>
  <c r="D45" i="5"/>
  <c r="I45" i="5" s="1" a="1"/>
  <c r="I45" i="5" s="1"/>
  <c r="F45" i="5"/>
  <c r="C47" i="5" a="1"/>
  <c r="C47" i="5" s="1"/>
  <c r="E46" i="5" a="1"/>
  <c r="E46" i="5" s="1"/>
  <c r="H46" i="5"/>
  <c r="G46" i="5" a="1"/>
  <c r="G46" i="5" s="1"/>
  <c r="J46" i="5" a="1"/>
  <c r="J46" i="5" s="1"/>
  <c r="AJ34" i="5" l="1"/>
  <c r="E40" i="4"/>
  <c r="AI21" i="5" s="1"/>
  <c r="AQ34" i="5"/>
  <c r="K46" i="5" a="1"/>
  <c r="K46" i="5" s="1"/>
  <c r="D46" i="5"/>
  <c r="I46" i="5" s="1" a="1"/>
  <c r="I46" i="5" s="1"/>
  <c r="F46" i="5"/>
  <c r="O45" i="5"/>
  <c r="X45" i="5"/>
  <c r="S45" i="5"/>
  <c r="P45" i="5"/>
  <c r="V45" i="5"/>
  <c r="T45" i="5"/>
  <c r="R45" i="5"/>
  <c r="N45" i="5" a="1"/>
  <c r="N45" i="5" s="1"/>
  <c r="W45" i="5"/>
  <c r="Q45" i="5"/>
  <c r="U45" i="5"/>
  <c r="M45" i="5" a="1"/>
  <c r="M45" i="5" s="1"/>
  <c r="AA46" i="5"/>
  <c r="AB46" i="5"/>
  <c r="AC46" i="5"/>
  <c r="Y46" i="5"/>
  <c r="AD46" i="5"/>
  <c r="L46" i="5" a="1"/>
  <c r="L46" i="5" s="1"/>
  <c r="Z46" i="5"/>
  <c r="C48" i="5" a="1"/>
  <c r="C48" i="5" s="1"/>
  <c r="E47" i="5" a="1"/>
  <c r="E47" i="5" s="1"/>
  <c r="H47" i="5"/>
  <c r="G47" i="5" a="1"/>
  <c r="G47" i="5" s="1"/>
  <c r="J47" i="5" a="1"/>
  <c r="J47" i="5" s="1"/>
  <c r="E27" i="4" l="1"/>
  <c r="AA47" i="5"/>
  <c r="AD47" i="5"/>
  <c r="Z47" i="5"/>
  <c r="AC47" i="5"/>
  <c r="AB47" i="5"/>
  <c r="Y47" i="5"/>
  <c r="L47" i="5" a="1"/>
  <c r="L47" i="5" s="1"/>
  <c r="K47" i="5" a="1"/>
  <c r="K47" i="5" s="1"/>
  <c r="F47" i="5"/>
  <c r="D47" i="5"/>
  <c r="I47" i="5" s="1" a="1"/>
  <c r="I47" i="5" s="1"/>
  <c r="C49" i="5" a="1"/>
  <c r="C49" i="5" s="1"/>
  <c r="E48" i="5" a="1"/>
  <c r="E48" i="5" s="1"/>
  <c r="H48" i="5"/>
  <c r="G48" i="5" a="1"/>
  <c r="G48" i="5" s="1"/>
  <c r="J48" i="5" a="1"/>
  <c r="J48" i="5" s="1"/>
  <c r="P46" i="5"/>
  <c r="V46" i="5"/>
  <c r="W46" i="5"/>
  <c r="U46" i="5"/>
  <c r="R46" i="5"/>
  <c r="S46" i="5"/>
  <c r="Q46" i="5"/>
  <c r="O46" i="5"/>
  <c r="M46" i="5" a="1"/>
  <c r="M46" i="5" s="1"/>
  <c r="X46" i="5"/>
  <c r="T46" i="5"/>
  <c r="N46" i="5" a="1"/>
  <c r="N46" i="5" s="1"/>
  <c r="C50" i="5" l="1" a="1"/>
  <c r="C50" i="5" s="1"/>
  <c r="H49" i="5"/>
  <c r="G49" i="5" a="1"/>
  <c r="G49" i="5" s="1"/>
  <c r="J49" i="5" a="1"/>
  <c r="J49" i="5" s="1"/>
  <c r="AA48" i="5"/>
  <c r="AC48" i="5"/>
  <c r="Y48" i="5"/>
  <c r="Z48" i="5"/>
  <c r="AB48" i="5"/>
  <c r="AD48" i="5"/>
  <c r="L48" i="5" a="1"/>
  <c r="L48" i="5" s="1"/>
  <c r="Q47" i="5"/>
  <c r="O47" i="5"/>
  <c r="X47" i="5"/>
  <c r="M47" i="5" a="1"/>
  <c r="M47" i="5" s="1"/>
  <c r="S47" i="5"/>
  <c r="V47" i="5"/>
  <c r="T47" i="5"/>
  <c r="N47" i="5" a="1"/>
  <c r="N47" i="5" s="1"/>
  <c r="R47" i="5"/>
  <c r="U47" i="5"/>
  <c r="P47" i="5"/>
  <c r="W47" i="5"/>
  <c r="D48" i="5"/>
  <c r="I48" i="5" s="1" a="1"/>
  <c r="I48" i="5" s="1"/>
  <c r="K48" i="5" a="1"/>
  <c r="K48" i="5" s="1"/>
  <c r="F48" i="5"/>
  <c r="W48" i="5" l="1"/>
  <c r="S48" i="5"/>
  <c r="U48" i="5"/>
  <c r="Q48" i="5"/>
  <c r="O48" i="5"/>
  <c r="M48" i="5" a="1"/>
  <c r="M48" i="5" s="1"/>
  <c r="X48" i="5"/>
  <c r="P48" i="5"/>
  <c r="V48" i="5"/>
  <c r="T48" i="5"/>
  <c r="N48" i="5" a="1"/>
  <c r="N48" i="5" s="1"/>
  <c r="R48" i="5"/>
  <c r="AA49" i="5"/>
  <c r="Z49" i="5"/>
  <c r="AC49" i="5"/>
  <c r="Y49" i="5"/>
  <c r="AD49" i="5"/>
  <c r="AB49" i="5"/>
  <c r="L49" i="5" a="1"/>
  <c r="L49" i="5" s="1"/>
  <c r="D49" i="5"/>
  <c r="I49" i="5" s="1" a="1"/>
  <c r="I49" i="5" s="1"/>
  <c r="F49" i="5"/>
  <c r="K49" i="5" a="1"/>
  <c r="K49" i="5" s="1"/>
  <c r="G50" i="5" a="1"/>
  <c r="G50" i="5" s="1"/>
  <c r="H50" i="5"/>
  <c r="J50" i="5" a="1"/>
  <c r="J50" i="5" s="1"/>
  <c r="U49" i="5" l="1"/>
  <c r="S49" i="5"/>
  <c r="Q49" i="5"/>
  <c r="O49" i="5"/>
  <c r="M49" i="5" a="1"/>
  <c r="M49" i="5" s="1"/>
  <c r="P49" i="5"/>
  <c r="W49" i="5"/>
  <c r="X49" i="5"/>
  <c r="N49" i="5" a="1"/>
  <c r="N49" i="5" s="1"/>
  <c r="V49" i="5"/>
  <c r="R49" i="5"/>
  <c r="T49" i="5"/>
  <c r="L50" i="5" a="1"/>
  <c r="L50" i="5" s="1"/>
  <c r="K50" i="5" a="1"/>
  <c r="K50" i="5" s="1"/>
  <c r="D50" i="5"/>
  <c r="I50" i="5" s="1" a="1"/>
  <c r="I50" i="5" s="1"/>
  <c r="F50" i="5"/>
  <c r="AD50" i="5"/>
  <c r="Z50" i="5"/>
  <c r="AC50" i="5"/>
  <c r="AA50" i="5"/>
  <c r="AB50" i="5"/>
  <c r="Y50" i="5"/>
  <c r="O50" i="5" l="1"/>
  <c r="W50" i="5"/>
  <c r="R50" i="5"/>
  <c r="V50" i="5"/>
  <c r="T50" i="5"/>
  <c r="N50" i="5" a="1"/>
  <c r="N50" i="5" s="1"/>
  <c r="U50" i="5"/>
  <c r="X50" i="5"/>
  <c r="S50" i="5"/>
  <c r="Q50" i="5"/>
  <c r="M50" i="5" a="1"/>
  <c r="M50" i="5" s="1"/>
  <c r="P5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<sst xmlns="http://schemas.openxmlformats.org/spreadsheetml/2006/main" count="1234" uniqueCount="109">
  <si>
    <t>Settings</t>
  </si>
  <si>
    <t>General</t>
  </si>
  <si>
    <t>Starting Year:</t>
  </si>
  <si>
    <t>Budget Planning</t>
  </si>
  <si>
    <t>Income</t>
  </si>
  <si>
    <t>Enter Income Category…</t>
  </si>
  <si>
    <t>Total</t>
  </si>
  <si>
    <t>Empoyment(Net)</t>
  </si>
  <si>
    <t>Side Hustle(Net)</t>
  </si>
  <si>
    <t>Dividents</t>
  </si>
  <si>
    <t>Other</t>
  </si>
  <si>
    <t>Expenses</t>
  </si>
  <si>
    <t>Housing</t>
  </si>
  <si>
    <t>Groceries</t>
  </si>
  <si>
    <t>Enter Expenses Category…</t>
  </si>
  <si>
    <t>Savings</t>
  </si>
  <si>
    <t>Emergency Fund</t>
  </si>
  <si>
    <t>Retirement Account</t>
  </si>
  <si>
    <t>Stock Portfolio</t>
  </si>
  <si>
    <t>Enter Savings Category…</t>
  </si>
  <si>
    <t>To be allocated:</t>
  </si>
  <si>
    <t>Budget Tracking</t>
  </si>
  <si>
    <t>Date</t>
  </si>
  <si>
    <t>Type</t>
  </si>
  <si>
    <t>Category</t>
  </si>
  <si>
    <t>Amount</t>
  </si>
  <si>
    <t>Details</t>
  </si>
  <si>
    <t>Balance</t>
  </si>
  <si>
    <t>Effective Date</t>
  </si>
  <si>
    <t>Budget Tracking &amp; Dashboard</t>
  </si>
  <si>
    <t>Late Monthly Income</t>
  </si>
  <si>
    <t>Shift late Income:</t>
  </si>
  <si>
    <t>Active</t>
  </si>
  <si>
    <t>Starting on day x in month:</t>
  </si>
  <si>
    <t>Calculations</t>
  </si>
  <si>
    <t xml:space="preserve">   Worksheet: Budget Tracking</t>
  </si>
  <si>
    <t>Today:</t>
  </si>
  <si>
    <t>Last Record:</t>
  </si>
  <si>
    <t>Delta Last Record:</t>
  </si>
  <si>
    <t># Records:</t>
  </si>
  <si>
    <t># Records this year:</t>
  </si>
  <si>
    <t>Balance Analysiis Text:</t>
  </si>
  <si>
    <t>Tracking Balance:</t>
  </si>
  <si>
    <t>Year</t>
  </si>
  <si>
    <t>Select the year of view:</t>
  </si>
  <si>
    <t>Period</t>
  </si>
  <si>
    <t>Select the period of view:</t>
  </si>
  <si>
    <t>Year Dropdown</t>
  </si>
  <si>
    <t>Current Year</t>
  </si>
  <si>
    <t>Period Dropdown</t>
  </si>
  <si>
    <t>Total Year</t>
  </si>
  <si>
    <t>Current Month</t>
  </si>
  <si>
    <t>Selected Year:</t>
  </si>
  <si>
    <t>Selected Period:</t>
  </si>
  <si>
    <t>Selected Period(Display):</t>
  </si>
  <si>
    <t>row_id</t>
  </si>
  <si>
    <t>header_row_id</t>
  </si>
  <si>
    <t>is_header</t>
  </si>
  <si>
    <t>is_cat</t>
  </si>
  <si>
    <t>is_total</t>
  </si>
  <si>
    <t>is_empty</t>
  </si>
  <si>
    <t>type</t>
  </si>
  <si>
    <t>item</t>
  </si>
  <si>
    <t>tracked</t>
  </si>
  <si>
    <t>budget</t>
  </si>
  <si>
    <t>sort_min_row</t>
  </si>
  <si>
    <t>sort_max_row</t>
  </si>
  <si>
    <t>tracked_range</t>
  </si>
  <si>
    <t>tracked_rank</t>
  </si>
  <si>
    <t>budget_range</t>
  </si>
  <si>
    <t>budget_rank</t>
  </si>
  <si>
    <t>comb_rank</t>
  </si>
  <si>
    <t>comb_rank_range</t>
  </si>
  <si>
    <t>comb_rank_norm</t>
  </si>
  <si>
    <t>comb_rank_norm_run_range</t>
  </si>
  <si>
    <t>comb_rank_unique</t>
  </si>
  <si>
    <t>sorted_row_id [Lookup]</t>
  </si>
  <si>
    <r>
      <rPr>
        <b/>
        <sz val="11"/>
        <color theme="4"/>
        <rFont val="Aptos Narrow"/>
        <family val="2"/>
        <scheme val="minor"/>
      </rPr>
      <t>Chart Calculations:</t>
    </r>
    <r>
      <rPr>
        <sz val="11"/>
        <color theme="4"/>
        <rFont val="Aptos Narrow"/>
        <family val="2"/>
        <charset val="238"/>
        <scheme val="minor"/>
      </rPr>
      <t xml:space="preserve"> Category Distribution Charts</t>
    </r>
  </si>
  <si>
    <r>
      <rPr>
        <b/>
        <sz val="11"/>
        <color theme="4"/>
        <rFont val="Aptos Narrow"/>
        <family val="2"/>
        <scheme val="minor"/>
      </rPr>
      <t>Chart Calculations:</t>
    </r>
    <r>
      <rPr>
        <sz val="11"/>
        <color theme="4"/>
        <rFont val="Aptos Narrow"/>
        <family val="2"/>
        <charset val="238"/>
        <scheme val="minor"/>
      </rPr>
      <t xml:space="preserve"> Tracked(vs. Budget) Chart</t>
    </r>
  </si>
  <si>
    <t>Month</t>
  </si>
  <si>
    <t>Month Num.</t>
  </si>
  <si>
    <t>In Focus</t>
  </si>
  <si>
    <t>Show Type</t>
  </si>
  <si>
    <t>Show Rem. Budget</t>
  </si>
  <si>
    <t>Tracked</t>
  </si>
  <si>
    <t>Budget</t>
  </si>
  <si>
    <t>Delta</t>
  </si>
  <si>
    <t>Period in Focus</t>
  </si>
  <si>
    <t>In Budget</t>
  </si>
  <si>
    <t>Remaining</t>
  </si>
  <si>
    <t>Excess</t>
  </si>
  <si>
    <t>Period not in Focus</t>
  </si>
  <si>
    <t>Show Income:</t>
  </si>
  <si>
    <t>Show Expenses:</t>
  </si>
  <si>
    <t>Show Savings:</t>
  </si>
  <si>
    <t>Show Remaining Budget:</t>
  </si>
  <si>
    <t>Days in Period:</t>
  </si>
  <si>
    <t>Days passed in Period:</t>
  </si>
  <si>
    <t>Days passed in Period %:</t>
  </si>
  <si>
    <t>Period Tracking Balance:</t>
  </si>
  <si>
    <t>Period Savings Rate:</t>
  </si>
  <si>
    <t>KPI Calculation in Dashboard</t>
  </si>
  <si>
    <t>Savings Rate as % of Income:</t>
  </si>
  <si>
    <t>Transport</t>
  </si>
  <si>
    <t>Studies</t>
  </si>
  <si>
    <t>% not allocated to Expenses</t>
  </si>
  <si>
    <t>Technologies</t>
  </si>
  <si>
    <t>...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</si>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</sst>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mmm"/>
    <numFmt numFmtId="165" formatCode="_-* #,##0_-;\-* #,##0_-;_-* &quot;-&quot;??_-;_-@_-"/>
    <numFmt numFmtId="166" formatCode="\→dd/mmm/yy"/>
    <numFmt numFmtId="167" formatCode="mmmm"/>
    <numFmt numFmtId="168" formatCode="0.0%"/>
  </numFmts>
  <fonts count="3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20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i/>
      <sz val="9"/>
      <color theme="0" tint="-0.49998474074526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 tint="-0.249977111117893"/>
      <name val="Aptos Narrow"/>
      <family val="2"/>
      <charset val="238"/>
      <scheme val="minor"/>
    </font>
    <font>
      <b/>
      <sz val="10"/>
      <color theme="1"/>
      <name val="Aptos Narrow"/>
      <family val="2"/>
      <scheme val="minor"/>
    </font>
    <font>
      <b/>
      <sz val="10"/>
      <color theme="0" tint="-0.249977111117893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charset val="238"/>
      <scheme val="minor"/>
    </font>
    <font>
      <sz val="11"/>
      <color theme="0" tint="-0.499984740745262"/>
      <name val="Aptos Narrow"/>
      <family val="2"/>
      <charset val="238"/>
      <scheme val="minor"/>
    </font>
    <font>
      <b/>
      <sz val="12"/>
      <color theme="8"/>
      <name val="Aptos Narrow"/>
      <family val="2"/>
      <scheme val="minor"/>
    </font>
    <font>
      <sz val="10"/>
      <color theme="0" tint="-0.14999847407452621"/>
      <name val="Aptos Narrow"/>
      <family val="2"/>
      <charset val="238"/>
      <scheme val="minor"/>
    </font>
    <font>
      <b/>
      <sz val="20"/>
      <color theme="3"/>
      <name val="Aptos Narrow"/>
      <family val="2"/>
      <scheme val="minor"/>
    </font>
    <font>
      <sz val="9"/>
      <color theme="0"/>
      <name val="Aptos Narrow"/>
      <family val="2"/>
      <charset val="238"/>
      <scheme val="minor"/>
    </font>
    <font>
      <b/>
      <sz val="9"/>
      <color theme="0"/>
      <name val="Aptos Narrow"/>
      <family val="2"/>
      <scheme val="minor"/>
    </font>
    <font>
      <sz val="9"/>
      <color theme="0" tint="-0.499984740745262"/>
      <name val="Aptos Narrow"/>
      <family val="2"/>
      <charset val="238"/>
      <scheme val="minor"/>
    </font>
    <font>
      <sz val="8"/>
      <color theme="1"/>
      <name val="Aptos Narrow"/>
      <family val="2"/>
      <charset val="238"/>
      <scheme val="minor"/>
    </font>
    <font>
      <sz val="10.5"/>
      <color theme="1"/>
      <name val="Aptos Narrow"/>
      <family val="2"/>
      <charset val="238"/>
      <scheme val="minor"/>
    </font>
    <font>
      <sz val="11"/>
      <color theme="4"/>
      <name val="Aptos Narrow"/>
      <family val="2"/>
      <charset val="238"/>
      <scheme val="minor"/>
    </font>
    <font>
      <b/>
      <sz val="11"/>
      <color theme="4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b/>
      <sz val="9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8"/>
      <color rgb="FF000000"/>
      <name val="Segoe U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dashDotDot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5" fillId="3" borderId="0" xfId="0" applyFont="1" applyFill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left" indent="1"/>
    </xf>
    <xf numFmtId="0" fontId="3" fillId="0" borderId="6" xfId="0" applyFont="1" applyBorder="1" applyAlignment="1">
      <alignment horizontal="left" indent="1"/>
    </xf>
    <xf numFmtId="0" fontId="7" fillId="4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indent="1"/>
    </xf>
    <xf numFmtId="165" fontId="8" fillId="0" borderId="6" xfId="1" applyNumberFormat="1" applyFont="1" applyBorder="1"/>
    <xf numFmtId="165" fontId="9" fillId="0" borderId="6" xfId="1" applyNumberFormat="1" applyFont="1" applyBorder="1"/>
    <xf numFmtId="165" fontId="10" fillId="0" borderId="6" xfId="1" applyNumberFormat="1" applyFont="1" applyBorder="1"/>
    <xf numFmtId="164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1" fillId="0" borderId="0" xfId="0" applyFont="1" applyAlignment="1">
      <alignment horizontal="right"/>
    </xf>
    <xf numFmtId="165" fontId="0" fillId="0" borderId="6" xfId="0" applyNumberFormat="1" applyBorder="1"/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indent="1"/>
    </xf>
    <xf numFmtId="14" fontId="5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13" fillId="7" borderId="0" xfId="0" applyFont="1" applyFill="1" applyAlignment="1">
      <alignment horizontal="left" vertical="center"/>
    </xf>
    <xf numFmtId="165" fontId="12" fillId="0" borderId="0" xfId="1" applyNumberFormat="1" applyFont="1" applyAlignment="1">
      <alignment horizontal="left" inden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4" fillId="0" borderId="0" xfId="0" applyFont="1"/>
    <xf numFmtId="14" fontId="15" fillId="0" borderId="0" xfId="0" applyNumberFormat="1" applyFont="1" applyAlignment="1">
      <alignment horizontal="right" indent="1"/>
    </xf>
    <xf numFmtId="166" fontId="15" fillId="0" borderId="0" xfId="0" applyNumberFormat="1" applyFont="1" applyAlignment="1">
      <alignment horizontal="right" indent="1"/>
    </xf>
    <xf numFmtId="0" fontId="0" fillId="7" borderId="0" xfId="0" applyFill="1"/>
    <xf numFmtId="14" fontId="0" fillId="0" borderId="0" xfId="0" applyNumberFormat="1"/>
    <xf numFmtId="0" fontId="0" fillId="0" borderId="0" xfId="0" applyAlignment="1">
      <alignment horizontal="right"/>
    </xf>
    <xf numFmtId="165" fontId="0" fillId="0" borderId="0" xfId="1" applyNumberFormat="1" applyFont="1"/>
    <xf numFmtId="0" fontId="16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4" fillId="2" borderId="0" xfId="0" applyFont="1" applyFill="1"/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7" fontId="5" fillId="0" borderId="15" xfId="0" applyNumberFormat="1" applyFont="1" applyBorder="1" applyAlignment="1">
      <alignment horizontal="center" vertical="center"/>
    </xf>
    <xf numFmtId="167" fontId="5" fillId="0" borderId="14" xfId="0" applyNumberFormat="1" applyFont="1" applyBorder="1" applyAlignment="1">
      <alignment horizontal="center" vertical="center"/>
    </xf>
    <xf numFmtId="0" fontId="3" fillId="0" borderId="16" xfId="0" applyFont="1" applyBorder="1"/>
    <xf numFmtId="0" fontId="0" fillId="0" borderId="16" xfId="0" applyBorder="1" applyAlignment="1">
      <alignment horizontal="right"/>
    </xf>
    <xf numFmtId="0" fontId="3" fillId="0" borderId="17" xfId="0" applyFont="1" applyBorder="1"/>
    <xf numFmtId="0" fontId="0" fillId="9" borderId="0" xfId="0" applyFill="1"/>
    <xf numFmtId="0" fontId="20" fillId="7" borderId="0" xfId="0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20" fillId="7" borderId="19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165" fontId="0" fillId="0" borderId="0" xfId="0" applyNumberFormat="1"/>
    <xf numFmtId="0" fontId="20" fillId="7" borderId="15" xfId="0" applyFont="1" applyFill="1" applyBorder="1" applyAlignment="1">
      <alignment horizontal="center" vertical="center"/>
    </xf>
    <xf numFmtId="0" fontId="0" fillId="0" borderId="15" xfId="0" applyBorder="1"/>
    <xf numFmtId="9" fontId="0" fillId="0" borderId="0" xfId="2" applyFont="1"/>
    <xf numFmtId="0" fontId="21" fillId="0" borderId="0" xfId="0" applyFont="1" applyAlignment="1">
      <alignment vertical="center"/>
    </xf>
    <xf numFmtId="9" fontId="21" fillId="0" borderId="0" xfId="2" applyFont="1" applyAlignment="1">
      <alignment horizontal="center" vertical="center"/>
    </xf>
    <xf numFmtId="165" fontId="21" fillId="0" borderId="0" xfId="1" applyNumberFormat="1" applyFont="1" applyAlignment="1">
      <alignment horizontal="center" vertical="center"/>
    </xf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0" xfId="0" applyBorder="1"/>
    <xf numFmtId="0" fontId="0" fillId="0" borderId="7" xfId="0" applyBorder="1"/>
    <xf numFmtId="0" fontId="0" fillId="0" borderId="21" xfId="0" applyBorder="1"/>
    <xf numFmtId="0" fontId="0" fillId="0" borderId="24" xfId="0" applyBorder="1"/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5" xfId="1" applyNumberFormat="1" applyFont="1" applyBorder="1" applyAlignment="1">
      <alignment horizontal="center"/>
    </xf>
    <xf numFmtId="165" fontId="3" fillId="0" borderId="0" xfId="1" applyNumberFormat="1" applyFont="1" applyAlignment="1">
      <alignment horizontal="center"/>
    </xf>
    <xf numFmtId="0" fontId="25" fillId="0" borderId="0" xfId="0" applyFont="1" applyAlignment="1">
      <alignment horizontal="left" indent="1"/>
    </xf>
    <xf numFmtId="165" fontId="25" fillId="0" borderId="0" xfId="1" applyNumberFormat="1" applyFont="1"/>
    <xf numFmtId="0" fontId="26" fillId="0" borderId="9" xfId="0" applyFont="1" applyBorder="1" applyAlignment="1">
      <alignment horizontal="left" indent="1"/>
    </xf>
    <xf numFmtId="165" fontId="26" fillId="0" borderId="9" xfId="1" applyNumberFormat="1" applyFont="1" applyBorder="1"/>
    <xf numFmtId="165" fontId="25" fillId="0" borderId="0" xfId="1" applyNumberFormat="1" applyFont="1" applyAlignment="1">
      <alignment horizontal="left" indent="1"/>
    </xf>
    <xf numFmtId="165" fontId="26" fillId="0" borderId="9" xfId="1" applyNumberFormat="1" applyFont="1" applyBorder="1" applyAlignment="1">
      <alignment horizontal="left" indent="1"/>
    </xf>
    <xf numFmtId="0" fontId="26" fillId="0" borderId="0" xfId="0" applyFont="1" applyAlignment="1">
      <alignment horizontal="left" indent="1"/>
    </xf>
    <xf numFmtId="165" fontId="26" fillId="0" borderId="0" xfId="1" applyNumberFormat="1" applyFont="1" applyBorder="1"/>
    <xf numFmtId="165" fontId="25" fillId="0" borderId="0" xfId="1" applyNumberFormat="1" applyFont="1" applyBorder="1"/>
    <xf numFmtId="0" fontId="27" fillId="0" borderId="24" xfId="0" applyFont="1" applyBorder="1"/>
    <xf numFmtId="0" fontId="3" fillId="0" borderId="4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0" fontId="5" fillId="0" borderId="0" xfId="0" applyFont="1"/>
    <xf numFmtId="165" fontId="0" fillId="0" borderId="4" xfId="1" applyNumberFormat="1" applyFont="1" applyBorder="1" applyAlignment="1">
      <alignment horizontal="center"/>
    </xf>
    <xf numFmtId="0" fontId="5" fillId="9" borderId="0" xfId="0" applyFont="1" applyFill="1" applyAlignment="1">
      <alignment horizontal="center" vertical="center"/>
    </xf>
    <xf numFmtId="43" fontId="0" fillId="0" borderId="0" xfId="1" applyFont="1"/>
    <xf numFmtId="168" fontId="0" fillId="0" borderId="0" xfId="2" applyNumberFormat="1" applyFont="1"/>
    <xf numFmtId="43" fontId="5" fillId="0" borderId="0" xfId="1" applyFont="1" applyAlignment="1">
      <alignment horizontal="left"/>
    </xf>
    <xf numFmtId="43" fontId="5" fillId="0" borderId="0" xfId="1" applyFont="1" applyAlignment="1">
      <alignment horizontal="left" indent="1"/>
    </xf>
    <xf numFmtId="165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12" fillId="0" borderId="0" xfId="1" applyNumberFormat="1" applyFont="1" applyAlignment="1">
      <alignment horizontal="left" indent="2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19" fillId="0" borderId="0" xfId="0" applyFont="1" applyAlignment="1">
      <alignment horizontal="right" indent="1"/>
    </xf>
    <xf numFmtId="167" fontId="5" fillId="8" borderId="1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8" fillId="10" borderId="0" xfId="0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8">
    <dxf>
      <fill>
        <patternFill>
          <bgColor theme="0" tint="-0.14996795556505021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3" tint="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rgb="FFCC0000"/>
        </patternFill>
      </fill>
    </dxf>
    <dxf>
      <fill>
        <patternFill>
          <bgColor rgb="FFA50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 tint="-0.499984740745262"/>
      </font>
      <numFmt numFmtId="169" formatCode="\→dd\-mm\-yyyy"/>
    </dxf>
    <dxf>
      <font>
        <b/>
        <i val="0"/>
        <color theme="6" tint="0.39994506668294322"/>
      </font>
      <numFmt numFmtId="3" formatCode="#,##0"/>
    </dxf>
    <dxf>
      <font>
        <b/>
        <i val="0"/>
        <color theme="8"/>
      </font>
      <numFmt numFmtId="3" formatCode="#,##0"/>
    </dxf>
    <dxf>
      <font>
        <color rgb="FFFF0000"/>
      </font>
    </dxf>
    <dxf>
      <font>
        <color rgb="FF000000"/>
      </font>
      <fill>
        <patternFill>
          <bgColor theme="7" tint="0.79998168889431442"/>
        </patternFill>
      </fill>
    </dxf>
    <dxf>
      <font>
        <color rgb="FF000000"/>
      </font>
      <fill>
        <patternFill>
          <bgColor theme="9" tint="0.79998168889431442"/>
        </patternFill>
      </fill>
    </dxf>
    <dxf>
      <font>
        <color rgb="FF000000"/>
      </font>
      <fill>
        <patternFill>
          <bgColor theme="7" tint="0.79998168889431442"/>
        </patternFill>
      </fill>
    </dxf>
    <dxf>
      <font>
        <color rgb="FF000000"/>
      </font>
      <fill>
        <patternFill>
          <bgColor theme="9" tint="0.79998168889431442"/>
        </patternFill>
      </fill>
    </dxf>
    <dxf>
      <font>
        <color rgb="FF000000"/>
      </font>
      <fill>
        <patternFill>
          <bgColor theme="7" tint="0.79998168889431442"/>
        </patternFill>
      </fill>
    </dxf>
    <dxf>
      <font>
        <color rgb="FF000000"/>
      </font>
      <fill>
        <patternFill>
          <bgColor theme="9" tint="0.79998168889431442"/>
        </patternFill>
      </fill>
    </dxf>
    <dxf>
      <font>
        <color rgb="FFC00000"/>
      </font>
    </dxf>
    <dxf>
      <font>
        <color rgb="FF00B050"/>
      </font>
    </dxf>
    <dxf>
      <font>
        <color theme="0" tint="-0.24994659260841701"/>
      </font>
    </dxf>
    <dxf>
      <font>
        <color rgb="FF000000"/>
      </font>
      <fill>
        <patternFill>
          <bgColor theme="7" tint="0.79998168889431442"/>
        </patternFill>
      </fill>
    </dxf>
    <dxf>
      <font>
        <color rgb="FF000000"/>
      </font>
      <fill>
        <patternFill>
          <bgColor rgb="FFFFCCCC"/>
        </patternFill>
      </fill>
    </dxf>
    <dxf>
      <font>
        <color rgb="FF000000"/>
      </font>
      <fill>
        <patternFill>
          <bgColor theme="9" tint="0.79998168889431442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0"/>
        <color theme="0" tint="-0.14999847407452621"/>
        <name val="Aptos Narrow"/>
        <family val="2"/>
        <charset val="238"/>
        <scheme val="minor"/>
      </font>
      <numFmt numFmtId="19" formatCode="dd/mm/yyyy"/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Aptos Narrow"/>
        <family val="2"/>
        <charset val="238"/>
        <scheme val="minor"/>
      </font>
      <numFmt numFmtId="165" formatCode="_-* #,##0_-;\-* #,##0_-;_-* &quot;-&quot;??_-;_-@_-"/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Aptos Narrow"/>
        <family val="2"/>
        <charset val="238"/>
        <scheme val="minor"/>
      </font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numFmt numFmtId="19" formatCode="dd/mm/yyyy"/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alignment horizontal="left" vertical="bottom" textRotation="0" wrapText="0" relativeIndent="1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charset val="238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charset val="238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charset val="238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charset val="238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charset val="238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Aptos Narrow"/>
        <family val="2"/>
        <charset val="238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1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7" tint="-0.49998474074526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color theme="0"/>
      </font>
      <fill>
        <patternFill>
          <bgColor rgb="FF00B0F0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7030A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color theme="0"/>
      </font>
      <fill>
        <patternFill>
          <bgColor theme="9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0"/>
      </font>
      <fill>
        <patternFill>
          <bgColor rgb="FFFF0066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5" defaultTableStyle="TableStyleMedium2" defaultPivotStyle="PivotStyleLight16">
    <tableStyle name="Expenses Table Style " pivot="0" count="2" xr9:uid="{7CDD58CE-BC50-4737-B27E-45E03E94814F}">
      <tableStyleElement type="wholeTable" dxfId="77"/>
      <tableStyleElement type="headerRow" dxfId="76"/>
    </tableStyle>
    <tableStyle name="Income Table Style" pivot="0" count="2" xr9:uid="{DFD4AAA9-8DD0-44AC-8254-D7F045AE5B16}">
      <tableStyleElement type="wholeTable" dxfId="75"/>
      <tableStyleElement type="headerRow" dxfId="74"/>
    </tableStyle>
    <tableStyle name="Loan Table Style" pivot="0" count="3" xr9:uid="{E0081E42-BF55-4AA2-9942-7E0BBCC60B75}">
      <tableStyleElement type="wholeTable" dxfId="73"/>
      <tableStyleElement type="headerRow" dxfId="72"/>
      <tableStyleElement type="firstRowStripe" dxfId="71"/>
    </tableStyle>
    <tableStyle name="Savings Table Style " pivot="0" count="2" xr9:uid="{C2FEDE41-DC26-4EC6-852D-0AE5471637C3}">
      <tableStyleElement type="wholeTable" dxfId="70"/>
      <tableStyleElement type="headerRow" dxfId="69"/>
    </tableStyle>
    <tableStyle name="Tracking Table Style" pivot="0" count="3" xr9:uid="{EA19CF46-52A5-417A-8DE8-446D2D537192}">
      <tableStyleElement type="wholeTable" dxfId="68"/>
      <tableStyleElement type="headerRow" dxfId="67"/>
      <tableStyleElement type="firstRowStripe" dxfId="66"/>
    </tableStyle>
  </tableStyles>
  <colors>
    <mruColors>
      <color rgb="FFA50021"/>
      <color rgb="FFFFCCCC"/>
      <color rgb="FFFF5050"/>
      <color rgb="FFFF7C80"/>
      <color rgb="FFFF0066"/>
      <color rgb="FFE0E0E0"/>
      <color rgb="FFCBCBCB"/>
      <color rgb="FFFF9999"/>
      <color rgb="FFCC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85-4CB7-A199-C0D514DA4EA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85-4CB7-A199-C0D514DA4EA1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85-4CB7-A199-C0D514DA4EA1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85-4CB7-A199-C0D514DA4EA1}"/>
              </c:ext>
            </c:extLst>
          </c:dPt>
          <c:dPt>
            <c:idx val="4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85-4CB7-A199-C0D514DA4EA1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85-4CB7-A199-C0D514DA4EA1}"/>
              </c:ext>
            </c:extLst>
          </c:dPt>
          <c:cat>
            <c:strRef>
              <c:f>Calculations!$E$35:$E$40</c:f>
              <c:strCache>
                <c:ptCount val="6"/>
                <c:pt idx="0">
                  <c:v>Empoyment(Net)</c:v>
                </c:pt>
                <c:pt idx="1">
                  <c:v>Side Hustle(Net)</c:v>
                </c:pt>
                <c:pt idx="2">
                  <c:v>Dividents</c:v>
                </c:pt>
                <c:pt idx="3">
                  <c:v>Other</c:v>
                </c:pt>
                <c:pt idx="5">
                  <c:v>Other</c:v>
                </c:pt>
              </c:strCache>
            </c:strRef>
          </c:cat>
          <c:val>
            <c:numRef>
              <c:f>Calculations!$F$35:$F$40</c:f>
              <c:numCache>
                <c:formatCode>_-* #\ ##0_-;\-* #\ ##0_-;_-* "-"??_-;_-@_-</c:formatCode>
                <c:ptCount val="6"/>
                <c:pt idx="0">
                  <c:v>47100</c:v>
                </c:pt>
                <c:pt idx="1">
                  <c:v>10931.15</c:v>
                </c:pt>
                <c:pt idx="2">
                  <c:v>2050</c:v>
                </c:pt>
                <c:pt idx="3">
                  <c:v>1000</c:v>
                </c:pt>
                <c:pt idx="4">
                  <c:v>0</c:v>
                </c:pt>
                <c:pt idx="5">
                  <c:v>-7.2759576141834259E-12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85-4CB7-A199-C0D514DA4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5002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16-4752-BBA9-AB93DEEF931C}"/>
              </c:ext>
            </c:extLst>
          </c:dPt>
          <c:dPt>
            <c:idx val="1"/>
            <c:bubble3D val="0"/>
            <c:spPr>
              <a:solidFill>
                <a:srgbClr val="CC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16-4752-BBA9-AB93DEEF931C}"/>
              </c:ext>
            </c:extLst>
          </c:dPt>
          <c:dPt>
            <c:idx val="2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16-4752-BBA9-AB93DEEF931C}"/>
              </c:ext>
            </c:extLst>
          </c:dPt>
          <c:dPt>
            <c:idx val="3"/>
            <c:bubble3D val="0"/>
            <c:spPr>
              <a:solidFill>
                <a:srgbClr val="FF7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16-4752-BBA9-AB93DEEF931C}"/>
              </c:ext>
            </c:extLst>
          </c:dPt>
          <c:dPt>
            <c:idx val="4"/>
            <c:bubble3D val="0"/>
            <c:spPr>
              <a:solidFill>
                <a:srgbClr val="FF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16-4752-BBA9-AB93DEEF931C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16-4752-BBA9-AB93DEEF931C}"/>
              </c:ext>
            </c:extLst>
          </c:dPt>
          <c:cat>
            <c:strRef>
              <c:f>Calculations!$I$35:$I$40</c:f>
              <c:strCache>
                <c:ptCount val="6"/>
                <c:pt idx="0">
                  <c:v>Housing</c:v>
                </c:pt>
                <c:pt idx="1">
                  <c:v>Groceries</c:v>
                </c:pt>
                <c:pt idx="2">
                  <c:v>Technologies</c:v>
                </c:pt>
                <c:pt idx="3">
                  <c:v>Transport</c:v>
                </c:pt>
                <c:pt idx="4">
                  <c:v>Other</c:v>
                </c:pt>
                <c:pt idx="5">
                  <c:v>Other</c:v>
                </c:pt>
              </c:strCache>
            </c:strRef>
          </c:cat>
          <c:val>
            <c:numRef>
              <c:f>Calculations!$J$35:$J$40</c:f>
              <c:numCache>
                <c:formatCode>_-* #\ ##0_-;\-* #\ ##0_-;_-* "-"??_-;_-@_-</c:formatCode>
                <c:ptCount val="6"/>
                <c:pt idx="0">
                  <c:v>17400</c:v>
                </c:pt>
                <c:pt idx="1">
                  <c:v>7300</c:v>
                </c:pt>
                <c:pt idx="2">
                  <c:v>2800</c:v>
                </c:pt>
                <c:pt idx="3">
                  <c:v>2800</c:v>
                </c:pt>
                <c:pt idx="4">
                  <c:v>1100</c:v>
                </c:pt>
                <c:pt idx="5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16-4752-BBA9-AB93DEEF9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54-4E96-B358-A00C9FAB35CF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54-4E96-B358-A00C9FAB35CF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54-4E96-B358-A00C9FAB35CF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54-4E96-B358-A00C9FAB35CF}"/>
              </c:ext>
            </c:extLst>
          </c:dPt>
          <c:dPt>
            <c:idx val="4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54-4E96-B358-A00C9FAB35CF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B54-4E96-B358-A00C9FAB35CF}"/>
              </c:ext>
            </c:extLst>
          </c:dPt>
          <c:cat>
            <c:strRef>
              <c:f>Calculations!$M$35:$M$40</c:f>
              <c:strCache>
                <c:ptCount val="4"/>
                <c:pt idx="0">
                  <c:v>Stock Portfolio</c:v>
                </c:pt>
                <c:pt idx="1">
                  <c:v>Retirement Account</c:v>
                </c:pt>
                <c:pt idx="2">
                  <c:v>Emergency Fund</c:v>
                </c:pt>
                <c:pt idx="3">
                  <c:v>Other</c:v>
                </c:pt>
              </c:strCache>
            </c:strRef>
          </c:cat>
          <c:val>
            <c:numRef>
              <c:f>Calculations!$N$35:$N$40</c:f>
              <c:numCache>
                <c:formatCode>_-* #\ ##0_-;\-* #\ ##0_-;_-* "-"??_-;_-@_-</c:formatCode>
                <c:ptCount val="6"/>
                <c:pt idx="0">
                  <c:v>6100</c:v>
                </c:pt>
                <c:pt idx="1">
                  <c:v>5849.91</c:v>
                </c:pt>
                <c:pt idx="2">
                  <c:v>5200</c:v>
                </c:pt>
                <c:pt idx="3">
                  <c:v>850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54-4E96-B358-A00C9FAB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33454962853281"/>
          <c:y val="7.4871947450362797E-2"/>
          <c:w val="0.82260574986266255"/>
          <c:h val="0.804138255242882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1E-40F3-9862-C625C027DF1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1E-40F3-9862-C625C027DF18}"/>
              </c:ext>
            </c:extLst>
          </c:dPt>
          <c:dPt>
            <c:idx val="5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1E-40F3-9862-C625C027DF1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1E-40F3-9862-C625C027DF18}"/>
              </c:ext>
            </c:extLst>
          </c:dPt>
          <c:dPt>
            <c:idx val="9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21E-40F3-9862-C625C027DF1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21E-40F3-9862-C625C027DF18}"/>
              </c:ext>
            </c:extLst>
          </c:dPt>
          <c:dPt>
            <c:idx val="13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21E-40F3-9862-C625C027DF18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21E-40F3-9862-C625C027DF18}"/>
              </c:ext>
            </c:extLst>
          </c:dPt>
          <c:dPt>
            <c:idx val="17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21E-40F3-9862-C625C027DF1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21E-40F3-9862-C625C027DF18}"/>
              </c:ext>
            </c:extLst>
          </c:dPt>
          <c:dPt>
            <c:idx val="21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21E-40F3-9862-C625C027DF1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21E-40F3-9862-C625C027DF18}"/>
              </c:ext>
            </c:extLst>
          </c:dPt>
          <c:dPt>
            <c:idx val="25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21E-40F3-9862-C625C027DF18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21E-40F3-9862-C625C027DF18}"/>
              </c:ext>
            </c:extLst>
          </c:dPt>
          <c:dPt>
            <c:idx val="29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21E-40F3-9862-C625C027DF18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21E-40F3-9862-C625C027DF18}"/>
              </c:ext>
            </c:extLst>
          </c:dPt>
          <c:dPt>
            <c:idx val="33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21E-40F3-9862-C625C027DF18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21E-40F3-9862-C625C027DF18}"/>
              </c:ext>
            </c:extLst>
          </c:dPt>
          <c:dPt>
            <c:idx val="37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21E-40F3-9862-C625C027DF1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21E-40F3-9862-C625C027DF18}"/>
              </c:ext>
            </c:extLst>
          </c:dPt>
          <c:dPt>
            <c:idx val="41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21E-40F3-9862-C625C027DF18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921E-40F3-9862-C625C027DF18}"/>
              </c:ext>
            </c:extLst>
          </c:dPt>
          <c:dPt>
            <c:idx val="45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921E-40F3-9862-C625C027DF18}"/>
              </c:ext>
            </c:extLst>
          </c:dPt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Calculations!$M$55:$M$102</c:f>
              <c:numCache>
                <c:formatCode>_-* #\ ##0_-;\-* #\ ##0_-;_-* "-"??_-;_-@_-</c:formatCode>
                <c:ptCount val="48"/>
                <c:pt idx="0">
                  <c:v>9900</c:v>
                </c:pt>
                <c:pt idx="1">
                  <c:v>5200</c:v>
                </c:pt>
                <c:pt idx="2">
                  <c:v>3500</c:v>
                </c:pt>
                <c:pt idx="4">
                  <c:v>10600</c:v>
                </c:pt>
                <c:pt idx="5">
                  <c:v>3700</c:v>
                </c:pt>
                <c:pt idx="6">
                  <c:v>3700</c:v>
                </c:pt>
                <c:pt idx="8">
                  <c:v>6297.8499999999995</c:v>
                </c:pt>
                <c:pt idx="9">
                  <c:v>7300</c:v>
                </c:pt>
                <c:pt idx="10">
                  <c:v>2600</c:v>
                </c:pt>
                <c:pt idx="12">
                  <c:v>10700</c:v>
                </c:pt>
                <c:pt idx="13">
                  <c:v>6500</c:v>
                </c:pt>
                <c:pt idx="14">
                  <c:v>3550</c:v>
                </c:pt>
                <c:pt idx="16">
                  <c:v>11400</c:v>
                </c:pt>
                <c:pt idx="17">
                  <c:v>6950</c:v>
                </c:pt>
                <c:pt idx="18">
                  <c:v>3721.3</c:v>
                </c:pt>
                <c:pt idx="20">
                  <c:v>1856.1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21E-40F3-9862-C625C027DF18}"/>
            </c:ext>
          </c:extLst>
        </c:ser>
        <c:ser>
          <c:idx val="1"/>
          <c:order val="1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921E-40F3-9862-C625C027DF1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921E-40F3-9862-C625C027DF18}"/>
              </c:ext>
            </c:extLst>
          </c:dPt>
          <c:dPt>
            <c:idx val="5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21E-40F3-9862-C625C027DF1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921E-40F3-9862-C625C027DF18}"/>
              </c:ext>
            </c:extLst>
          </c:dPt>
          <c:dPt>
            <c:idx val="9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921E-40F3-9862-C625C027DF1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921E-40F3-9862-C625C027DF18}"/>
              </c:ext>
            </c:extLst>
          </c:dPt>
          <c:dPt>
            <c:idx val="13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921E-40F3-9862-C625C027DF18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921E-40F3-9862-C625C027DF18}"/>
              </c:ext>
            </c:extLst>
          </c:dPt>
          <c:dPt>
            <c:idx val="17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921E-40F3-9862-C625C027DF1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921E-40F3-9862-C625C027DF18}"/>
              </c:ext>
            </c:extLst>
          </c:dPt>
          <c:dPt>
            <c:idx val="21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921E-40F3-9862-C625C027DF1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21E-40F3-9862-C625C027DF18}"/>
              </c:ext>
            </c:extLst>
          </c:dPt>
          <c:dPt>
            <c:idx val="25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921E-40F3-9862-C625C027DF18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921E-40F3-9862-C625C027DF18}"/>
              </c:ext>
            </c:extLst>
          </c:dPt>
          <c:dPt>
            <c:idx val="29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921E-40F3-9862-C625C027DF18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21E-40F3-9862-C625C027DF18}"/>
              </c:ext>
            </c:extLst>
          </c:dPt>
          <c:dPt>
            <c:idx val="33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921E-40F3-9862-C625C027DF18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921E-40F3-9862-C625C027DF18}"/>
              </c:ext>
            </c:extLst>
          </c:dPt>
          <c:dPt>
            <c:idx val="37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21E-40F3-9862-C625C027DF1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921E-40F3-9862-C625C027DF18}"/>
              </c:ext>
            </c:extLst>
          </c:dPt>
          <c:dPt>
            <c:idx val="41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921E-40F3-9862-C625C027DF18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921E-40F3-9862-C625C027DF18}"/>
              </c:ext>
            </c:extLst>
          </c:dPt>
          <c:dPt>
            <c:idx val="45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921E-40F3-9862-C625C027DF18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921E-40F3-9862-C625C027DF18}"/>
              </c:ext>
            </c:extLst>
          </c:dPt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Calculations!$N$55:$N$102</c:f>
              <c:numCache>
                <c:formatCode>_-* #\ ##0_-;\-* #\ ##0_-;_-* "-"??_-;_-@_-</c:formatCode>
                <c:ptCount val="48"/>
                <c:pt idx="0">
                  <c:v>0</c:v>
                </c:pt>
                <c:pt idx="1">
                  <c:v>1200</c:v>
                </c:pt>
                <c:pt idx="2">
                  <c:v>0</c:v>
                </c:pt>
                <c:pt idx="4">
                  <c:v>0</c:v>
                </c:pt>
                <c:pt idx="5">
                  <c:v>2600</c:v>
                </c:pt>
                <c:pt idx="6">
                  <c:v>0</c:v>
                </c:pt>
                <c:pt idx="8">
                  <c:v>6052.1500000000005</c:v>
                </c:pt>
                <c:pt idx="9">
                  <c:v>950</c:v>
                </c:pt>
                <c:pt idx="10">
                  <c:v>1150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78.699999999999818</c:v>
                </c:pt>
                <c:pt idx="20">
                  <c:v>10693.9</c:v>
                </c:pt>
                <c:pt idx="21">
                  <c:v>6300</c:v>
                </c:pt>
                <c:pt idx="22">
                  <c:v>3900</c:v>
                </c:pt>
                <c:pt idx="24">
                  <c:v>12200</c:v>
                </c:pt>
                <c:pt idx="25">
                  <c:v>6750</c:v>
                </c:pt>
                <c:pt idx="26">
                  <c:v>3700</c:v>
                </c:pt>
                <c:pt idx="28">
                  <c:v>11500</c:v>
                </c:pt>
                <c:pt idx="29">
                  <c:v>6450</c:v>
                </c:pt>
                <c:pt idx="30">
                  <c:v>3950</c:v>
                </c:pt>
                <c:pt idx="32">
                  <c:v>12700</c:v>
                </c:pt>
                <c:pt idx="33">
                  <c:v>6550</c:v>
                </c:pt>
                <c:pt idx="34">
                  <c:v>3650</c:v>
                </c:pt>
                <c:pt idx="36">
                  <c:v>12350</c:v>
                </c:pt>
                <c:pt idx="37">
                  <c:v>8100</c:v>
                </c:pt>
                <c:pt idx="38">
                  <c:v>3800</c:v>
                </c:pt>
                <c:pt idx="40">
                  <c:v>11050</c:v>
                </c:pt>
                <c:pt idx="41">
                  <c:v>6500</c:v>
                </c:pt>
                <c:pt idx="42">
                  <c:v>3600</c:v>
                </c:pt>
                <c:pt idx="44">
                  <c:v>13400</c:v>
                </c:pt>
                <c:pt idx="45">
                  <c:v>8300</c:v>
                </c:pt>
                <c:pt idx="46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921E-40F3-9862-C625C027DF1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921E-40F3-9862-C625C027DF18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921E-40F3-9862-C625C027DF18}"/>
              </c:ext>
            </c:extLst>
          </c:dPt>
          <c:dPt>
            <c:idx val="5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921E-40F3-9862-C625C027DF18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921E-40F3-9862-C625C027DF18}"/>
              </c:ext>
            </c:extLst>
          </c:dPt>
          <c:dPt>
            <c:idx val="9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921E-40F3-9862-C625C027DF18}"/>
              </c:ext>
            </c:extLst>
          </c:dPt>
          <c:dPt>
            <c:idx val="1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921E-40F3-9862-C625C027DF18}"/>
              </c:ext>
            </c:extLst>
          </c:dPt>
          <c:dPt>
            <c:idx val="13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921E-40F3-9862-C625C027DF18}"/>
              </c:ext>
            </c:extLst>
          </c:dPt>
          <c:dPt>
            <c:idx val="1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921E-40F3-9862-C625C027DF18}"/>
              </c:ext>
            </c:extLst>
          </c:dPt>
          <c:dPt>
            <c:idx val="17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921E-40F3-9862-C625C027DF18}"/>
              </c:ext>
            </c:extLst>
          </c:dPt>
          <c:dPt>
            <c:idx val="1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921E-40F3-9862-C625C027DF18}"/>
              </c:ext>
            </c:extLst>
          </c:dPt>
          <c:dPt>
            <c:idx val="21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921E-40F3-9862-C625C027DF18}"/>
              </c:ext>
            </c:extLst>
          </c:dPt>
          <c:dPt>
            <c:idx val="2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921E-40F3-9862-C625C027DF18}"/>
              </c:ext>
            </c:extLst>
          </c:dPt>
          <c:dPt>
            <c:idx val="25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921E-40F3-9862-C625C027DF18}"/>
              </c:ext>
            </c:extLst>
          </c:dPt>
          <c:dPt>
            <c:idx val="2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921E-40F3-9862-C625C027DF18}"/>
              </c:ext>
            </c:extLst>
          </c:dPt>
          <c:dPt>
            <c:idx val="29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921E-40F3-9862-C625C027DF18}"/>
              </c:ext>
            </c:extLst>
          </c:dPt>
          <c:dPt>
            <c:idx val="3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921E-40F3-9862-C625C027DF18}"/>
              </c:ext>
            </c:extLst>
          </c:dPt>
          <c:dPt>
            <c:idx val="33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921E-40F3-9862-C625C027DF18}"/>
              </c:ext>
            </c:extLst>
          </c:dPt>
          <c:dPt>
            <c:idx val="3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921E-40F3-9862-C625C027DF18}"/>
              </c:ext>
            </c:extLst>
          </c:dPt>
          <c:dPt>
            <c:idx val="37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921E-40F3-9862-C625C027DF18}"/>
              </c:ext>
            </c:extLst>
          </c:dPt>
          <c:dPt>
            <c:idx val="3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921E-40F3-9862-C625C027DF18}"/>
              </c:ext>
            </c:extLst>
          </c:dPt>
          <c:dPt>
            <c:idx val="41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921E-40F3-9862-C625C027DF18}"/>
              </c:ext>
            </c:extLst>
          </c:dPt>
          <c:dPt>
            <c:idx val="4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921E-40F3-9862-C625C027DF18}"/>
              </c:ext>
            </c:extLst>
          </c:dPt>
          <c:dPt>
            <c:idx val="45"/>
            <c:invertIfNegative val="0"/>
            <c:bubble3D val="0"/>
            <c:spPr>
              <a:solidFill>
                <a:srgbClr val="A500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921E-40F3-9862-C625C027DF18}"/>
              </c:ext>
            </c:extLst>
          </c:dPt>
          <c:dPt>
            <c:idx val="4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921E-40F3-9862-C625C027DF18}"/>
              </c:ext>
            </c:extLst>
          </c:dPt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Calculations!$O$55:$O$102</c:f>
              <c:numCache>
                <c:formatCode>_-* #\ ##0_-;\-* #\ ##0_-;_-* "-"??_-;_-@_-</c:formatCode>
                <c:ptCount val="48"/>
                <c:pt idx="0">
                  <c:v>631.14999999999964</c:v>
                </c:pt>
                <c:pt idx="1">
                  <c:v>0</c:v>
                </c:pt>
                <c:pt idx="2">
                  <c:v>450</c:v>
                </c:pt>
                <c:pt idx="4">
                  <c:v>1520.5600000000013</c:v>
                </c:pt>
                <c:pt idx="5">
                  <c:v>0</c:v>
                </c:pt>
                <c:pt idx="6">
                  <c:v>400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2885.369999999999</c:v>
                </c:pt>
                <c:pt idx="13">
                  <c:v>650</c:v>
                </c:pt>
                <c:pt idx="14">
                  <c:v>78.610000000000127</c:v>
                </c:pt>
                <c:pt idx="16">
                  <c:v>5290.119999999999</c:v>
                </c:pt>
                <c:pt idx="17">
                  <c:v>2050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921E-40F3-9862-C625C027DF18}"/>
            </c:ext>
          </c:extLst>
        </c:ser>
        <c:ser>
          <c:idx val="3"/>
          <c:order val="3"/>
          <c:spPr>
            <a:solidFill>
              <a:srgbClr val="CBCBCB"/>
            </a:solidFill>
            <a:ln>
              <a:noFill/>
            </a:ln>
            <a:effectLst/>
          </c:spPr>
          <c:invertIfNegative val="0"/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Calculations!$P$55:$P$102</c:f>
              <c:numCache>
                <c:formatCode>_-* #\ ##0_-;\-* #\ ##0_-;_-* "-"??_-;_-@_-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921E-40F3-9862-C625C027DF18}"/>
            </c:ext>
          </c:extLst>
        </c:ser>
        <c:ser>
          <c:idx val="4"/>
          <c:order val="4"/>
          <c:spPr>
            <a:solidFill>
              <a:srgbClr val="E0E0E0"/>
            </a:solidFill>
            <a:ln>
              <a:noFill/>
            </a:ln>
            <a:effectLst/>
          </c:spPr>
          <c:invertIfNegative val="0"/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Calculations!$Q$55:$Q$102</c:f>
              <c:numCache>
                <c:formatCode>_-* #\ ##0_-;\-* #\ ##0_-;_-* "-"??_-;_-@_-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921E-40F3-9862-C625C027DF18}"/>
            </c:ext>
          </c:extLst>
        </c:ser>
        <c:ser>
          <c:idx val="5"/>
          <c:order val="5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Calculations!$D$55:$D$102</c:f>
              <c:numCache>
                <c:formatCode>mmm</c:formatCode>
                <c:ptCount val="48"/>
                <c:pt idx="0">
                  <c:v>46023</c:v>
                </c:pt>
                <c:pt idx="4">
                  <c:v>46054</c:v>
                </c:pt>
                <c:pt idx="8">
                  <c:v>46082</c:v>
                </c:pt>
                <c:pt idx="12">
                  <c:v>46113</c:v>
                </c:pt>
                <c:pt idx="16">
                  <c:v>46143</c:v>
                </c:pt>
                <c:pt idx="20">
                  <c:v>46174</c:v>
                </c:pt>
                <c:pt idx="24">
                  <c:v>46204</c:v>
                </c:pt>
                <c:pt idx="28">
                  <c:v>46235</c:v>
                </c:pt>
                <c:pt idx="32">
                  <c:v>46266</c:v>
                </c:pt>
                <c:pt idx="36">
                  <c:v>46296</c:v>
                </c:pt>
                <c:pt idx="40">
                  <c:v>46327</c:v>
                </c:pt>
                <c:pt idx="44">
                  <c:v>46357</c:v>
                </c:pt>
              </c:numCache>
            </c:numRef>
          </c:cat>
          <c:val>
            <c:numRef>
              <c:f>Calculations!$R$55:$R$102</c:f>
              <c:numCache>
                <c:formatCode>_-* #\ ##0_-;\-* #\ ##0_-;_-* "-"??_-;_-@_-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921E-40F3-9862-C625C027D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151705023"/>
        <c:axId val="1151717023"/>
      </c:barChart>
      <c:catAx>
        <c:axId val="1151705023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17023"/>
        <c:crosses val="autoZero"/>
        <c:auto val="0"/>
        <c:lblAlgn val="ctr"/>
        <c:lblOffset val="100"/>
        <c:noMultiLvlLbl val="0"/>
      </c:catAx>
      <c:valAx>
        <c:axId val="1151717023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0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Calculations!$E$24</c:f>
              <c:numCache>
                <c:formatCode>0%</c:formatCode>
                <c:ptCount val="1"/>
                <c:pt idx="0">
                  <c:v>0.35890410958904112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D-4933-9F41-7ADA5F3E2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55943247"/>
        <c:axId val="1755938927"/>
      </c:barChart>
      <c:catAx>
        <c:axId val="1755943247"/>
        <c:scaling>
          <c:orientation val="minMax"/>
        </c:scaling>
        <c:delete val="1"/>
        <c:axPos val="l"/>
        <c:majorTickMark val="none"/>
        <c:minorTickMark val="none"/>
        <c:tickLblPos val="nextTo"/>
        <c:crossAx val="1755938927"/>
        <c:crosses val="autoZero"/>
        <c:auto val="1"/>
        <c:lblAlgn val="ctr"/>
        <c:lblOffset val="100"/>
        <c:noMultiLvlLbl val="0"/>
      </c:catAx>
      <c:valAx>
        <c:axId val="1755938927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175594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Calculations!$E$49" lockText="1" noThreeD="1"/>
</file>

<file path=xl/ctrlProps/ctrlProp2.xml><?xml version="1.0" encoding="utf-8"?>
<formControlPr xmlns="http://schemas.microsoft.com/office/spreadsheetml/2009/9/main" objectType="CheckBox" checked="Checked" fmlaLink="Calculations!$E$50" lockText="1" noThreeD="1"/>
</file>

<file path=xl/ctrlProps/ctrlProp3.xml><?xml version="1.0" encoding="utf-8"?>
<formControlPr xmlns="http://schemas.microsoft.com/office/spreadsheetml/2009/9/main" objectType="CheckBox" checked="Checked" fmlaLink="Calculations!$E$51" lockText="1" noThreeD="1"/>
</file>

<file path=xl/ctrlProps/ctrlProp4.xml><?xml version="1.0" encoding="utf-8"?>
<formControlPr xmlns="http://schemas.microsoft.com/office/spreadsheetml/2009/9/main" objectType="CheckBox" checked="Checked" fmlaLink="Calculations!$E$52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248920</xdr:colOff>
      <xdr:row>5</xdr:row>
      <xdr:rowOff>1270</xdr:rowOff>
    </xdr:from>
    <xdr:to>
      <xdr:col>3</xdr:col>
      <xdr:colOff>158750</xdr:colOff>
      <xdr:row>6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71D13F-9CE9-F2A4-68DE-28CC45C0934A}"/>
            </a:ext>
          </a:extLst>
        </xdr:cNvPr>
        <xdr:cNvSpPr txBox="1"/>
      </xdr:nvSpPr>
      <xdr:spPr>
        <a:xfrm>
          <a:off x="698500" y="915670"/>
          <a:ext cx="999490" cy="280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Date of</a:t>
          </a:r>
          <a:r>
            <a:rPr lang="pl-PL" sz="1100" b="1" baseline="0"/>
            <a:t> Today</a:t>
          </a:r>
          <a:endParaRPr lang="en-US" sz="1100" b="1"/>
        </a:p>
      </xdr:txBody>
    </xdr:sp>
    <xdr:clientData/>
  </xdr:twoCellAnchor>
  <xdr:twoCellAnchor>
    <xdr:from>
      <xdr:col>2</xdr:col>
      <xdr:colOff>313690</xdr:colOff>
      <xdr:row>5</xdr:row>
      <xdr:rowOff>1270</xdr:rowOff>
    </xdr:from>
    <xdr:to>
      <xdr:col>3</xdr:col>
      <xdr:colOff>218440</xdr:colOff>
      <xdr:row>6</xdr:row>
      <xdr:rowOff>100330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F35720-4EE1-4CA4-924C-F3DEF63D0B27}"/>
            </a:ext>
          </a:extLst>
        </xdr:cNvPr>
        <xdr:cNvSpPr txBox="1"/>
      </xdr:nvSpPr>
      <xdr:spPr>
        <a:xfrm>
          <a:off x="763270" y="915670"/>
          <a:ext cx="99441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Date of</a:t>
          </a:r>
          <a:r>
            <a:rPr lang="pl-PL" sz="1100" b="1" baseline="0"/>
            <a:t> Today</a:t>
          </a:r>
          <a:endParaRPr lang="en-US" sz="1100" b="1"/>
        </a:p>
      </xdr:txBody>
    </xdr:sp>
    <xdr:clientData/>
  </xdr:twoCellAnchor>
  <xdr:twoCellAnchor>
    <xdr:from>
      <xdr:col>2</xdr:col>
      <xdr:colOff>135890</xdr:colOff>
      <xdr:row>4</xdr:row>
      <xdr:rowOff>137795</xdr:rowOff>
    </xdr:from>
    <xdr:to>
      <xdr:col>3</xdr:col>
      <xdr:colOff>325120</xdr:colOff>
      <xdr:row>8</xdr:row>
      <xdr:rowOff>138975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FB99DF02-9404-4E96-FB4B-2B4BC22B1E4B}"/>
            </a:ext>
          </a:extLst>
        </xdr:cNvPr>
        <xdr:cNvGrpSpPr/>
      </xdr:nvGrpSpPr>
      <xdr:grpSpPr>
        <a:xfrm>
          <a:off x="586740" y="874395"/>
          <a:ext cx="1281430" cy="737780"/>
          <a:chOff x="588010" y="866140"/>
          <a:chExt cx="1278890" cy="73270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A1022B51-8825-432A-B601-140E7F055472}"/>
              </a:ext>
            </a:extLst>
          </xdr:cNvPr>
          <xdr:cNvSpPr/>
        </xdr:nvSpPr>
        <xdr:spPr>
          <a:xfrm>
            <a:off x="588010" y="866140"/>
            <a:ext cx="1278890" cy="73270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CCBC5E73-127D-4BED-84EF-1B87452ED4C4}"/>
              </a:ext>
            </a:extLst>
          </xdr:cNvPr>
          <xdr:cNvSpPr txBox="1"/>
        </xdr:nvSpPr>
        <xdr:spPr>
          <a:xfrm>
            <a:off x="754380" y="915670"/>
            <a:ext cx="999490" cy="2794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 b="1"/>
              <a:t>Date of</a:t>
            </a:r>
            <a:r>
              <a:rPr lang="pl-PL" sz="1100" b="1" baseline="0"/>
              <a:t> Today</a:t>
            </a:r>
            <a:endParaRPr lang="en-US" sz="1100" b="1"/>
          </a:p>
        </xdr:txBody>
      </xdr:sp>
      <xdr:sp macro="" textlink="Calculations!E8">
        <xdr:nvSpPr>
          <xdr:cNvPr id="6" name="TextBox 5">
            <a:extLst>
              <a:ext uri="{FF2B5EF4-FFF2-40B4-BE49-F238E27FC236}">
                <a16:creationId xmlns:a16="http://schemas.microsoft.com/office/drawing/2014/main" id="{AEB93F8F-CC25-48AF-B8A5-2E2FD634FE6A}"/>
              </a:ext>
            </a:extLst>
          </xdr:cNvPr>
          <xdr:cNvSpPr txBox="1"/>
        </xdr:nvSpPr>
        <xdr:spPr>
          <a:xfrm>
            <a:off x="754380" y="1155700"/>
            <a:ext cx="996950" cy="2755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006BB9C-019B-4A28-A811-918286BBE491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/>
              <a:t>11.05.2026</a:t>
            </a:fld>
            <a:endParaRPr lang="en-US" sz="1200" b="1"/>
          </a:p>
        </xdr:txBody>
      </xdr:sp>
    </xdr:grpSp>
    <xdr:clientData/>
  </xdr:twoCellAnchor>
  <xdr:twoCellAnchor>
    <xdr:from>
      <xdr:col>3</xdr:col>
      <xdr:colOff>513080</xdr:colOff>
      <xdr:row>4</xdr:row>
      <xdr:rowOff>140335</xdr:rowOff>
    </xdr:from>
    <xdr:to>
      <xdr:col>5</xdr:col>
      <xdr:colOff>325120</xdr:colOff>
      <xdr:row>8</xdr:row>
      <xdr:rowOff>136435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9DFD35E2-6965-874E-99BD-4047C9EF536B}"/>
            </a:ext>
          </a:extLst>
        </xdr:cNvPr>
        <xdr:cNvGrpSpPr/>
      </xdr:nvGrpSpPr>
      <xdr:grpSpPr>
        <a:xfrm>
          <a:off x="2056130" y="876935"/>
          <a:ext cx="2098040" cy="732700"/>
          <a:chOff x="2049780" y="867410"/>
          <a:chExt cx="2103120" cy="733970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EAEEED47-DDF6-4780-A4CD-52A1898A6BB3}"/>
              </a:ext>
            </a:extLst>
          </xdr:cNvPr>
          <xdr:cNvSpPr/>
        </xdr:nvSpPr>
        <xdr:spPr>
          <a:xfrm>
            <a:off x="2049780" y="867410"/>
            <a:ext cx="2103120" cy="73397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CB7A980-0B5D-4135-8460-6EFACABD94E6}"/>
              </a:ext>
            </a:extLst>
          </xdr:cNvPr>
          <xdr:cNvSpPr txBox="1"/>
        </xdr:nvSpPr>
        <xdr:spPr>
          <a:xfrm>
            <a:off x="2287270" y="937260"/>
            <a:ext cx="155321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 b="1"/>
              <a:t>Date of</a:t>
            </a:r>
            <a:r>
              <a:rPr lang="pl-PL" sz="1100" b="1" baseline="0"/>
              <a:t> the last record</a:t>
            </a:r>
            <a:endParaRPr lang="en-US" sz="1100" b="1"/>
          </a:p>
        </xdr:txBody>
      </xdr:sp>
      <xdr:sp macro="" textlink="Calculations!E9">
        <xdr:nvSpPr>
          <xdr:cNvPr id="9" name="TextBox 8">
            <a:extLst>
              <a:ext uri="{FF2B5EF4-FFF2-40B4-BE49-F238E27FC236}">
                <a16:creationId xmlns:a16="http://schemas.microsoft.com/office/drawing/2014/main" id="{197BA57C-420C-4A10-8E1B-39C652047A9B}"/>
              </a:ext>
            </a:extLst>
          </xdr:cNvPr>
          <xdr:cNvSpPr txBox="1"/>
        </xdr:nvSpPr>
        <xdr:spPr>
          <a:xfrm>
            <a:off x="2283460" y="1159510"/>
            <a:ext cx="982980" cy="2743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53AB7AA-875F-444A-B05A-D408FD85CBCC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/>
              <a:t>28.05.2026</a:t>
            </a:fld>
            <a:endParaRPr lang="en-US" sz="1400" b="1"/>
          </a:p>
        </xdr:txBody>
      </xdr:sp>
      <xdr:sp macro="" textlink="Calculations!E10">
        <xdr:nvSpPr>
          <xdr:cNvPr id="10" name="TextBox 9">
            <a:extLst>
              <a:ext uri="{FF2B5EF4-FFF2-40B4-BE49-F238E27FC236}">
                <a16:creationId xmlns:a16="http://schemas.microsoft.com/office/drawing/2014/main" id="{F8DB4B04-059B-429D-BA08-FF2C3DC82BF3}"/>
              </a:ext>
            </a:extLst>
          </xdr:cNvPr>
          <xdr:cNvSpPr txBox="1"/>
        </xdr:nvSpPr>
        <xdr:spPr>
          <a:xfrm>
            <a:off x="3141980" y="1195070"/>
            <a:ext cx="998220" cy="2628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70F9D4C-1CA5-43C2-8065-40D9BC641ADD}" type="TxLink">
              <a:rPr lang="en-US" sz="1050" b="0" i="0" u="none" strike="noStrike">
                <a:solidFill>
                  <a:srgbClr val="000000"/>
                </a:solidFill>
                <a:latin typeface="Aptos Narrow"/>
              </a:rPr>
              <a:pPr/>
              <a:t>(-17 days ago)</a:t>
            </a:fld>
            <a:endParaRPr lang="en-US" sz="1200" b="1"/>
          </a:p>
        </xdr:txBody>
      </xdr:sp>
    </xdr:grpSp>
    <xdr:clientData/>
  </xdr:twoCellAnchor>
  <xdr:twoCellAnchor>
    <xdr:from>
      <xdr:col>5</xdr:col>
      <xdr:colOff>548640</xdr:colOff>
      <xdr:row>4</xdr:row>
      <xdr:rowOff>140335</xdr:rowOff>
    </xdr:from>
    <xdr:to>
      <xdr:col>6</xdr:col>
      <xdr:colOff>1295400</xdr:colOff>
      <xdr:row>8</xdr:row>
      <xdr:rowOff>136435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5720E7E-ED29-CD19-846B-4F0B30F76C28}"/>
            </a:ext>
          </a:extLst>
        </xdr:cNvPr>
        <xdr:cNvGrpSpPr/>
      </xdr:nvGrpSpPr>
      <xdr:grpSpPr>
        <a:xfrm>
          <a:off x="4377690" y="876935"/>
          <a:ext cx="1838960" cy="732700"/>
          <a:chOff x="4371340" y="866140"/>
          <a:chExt cx="1838960" cy="733970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CCAF9C8D-EE24-477B-8D91-B05B1420E6F6}"/>
              </a:ext>
            </a:extLst>
          </xdr:cNvPr>
          <xdr:cNvSpPr/>
        </xdr:nvSpPr>
        <xdr:spPr>
          <a:xfrm>
            <a:off x="4371340" y="866140"/>
            <a:ext cx="1838960" cy="73397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242C941-8D4C-4F52-B619-1BAE96E9E20D}"/>
              </a:ext>
            </a:extLst>
          </xdr:cNvPr>
          <xdr:cNvSpPr txBox="1"/>
        </xdr:nvSpPr>
        <xdr:spPr>
          <a:xfrm>
            <a:off x="4574540" y="934720"/>
            <a:ext cx="154686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 b="1"/>
              <a:t>Nr of Tracked Records</a:t>
            </a:r>
            <a:endParaRPr lang="en-US" sz="1100" b="1"/>
          </a:p>
        </xdr:txBody>
      </xdr:sp>
      <xdr:sp macro="" textlink="Calculations!E11">
        <xdr:nvSpPr>
          <xdr:cNvPr id="13" name="TextBox 12">
            <a:extLst>
              <a:ext uri="{FF2B5EF4-FFF2-40B4-BE49-F238E27FC236}">
                <a16:creationId xmlns:a16="http://schemas.microsoft.com/office/drawing/2014/main" id="{91FDE25F-5275-46FD-B710-9D9DD65F0BDE}"/>
              </a:ext>
            </a:extLst>
          </xdr:cNvPr>
          <xdr:cNvSpPr txBox="1"/>
        </xdr:nvSpPr>
        <xdr:spPr>
          <a:xfrm>
            <a:off x="4570730" y="1160780"/>
            <a:ext cx="405130" cy="2895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3042200-176C-400E-A959-C53A82119677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/>
              <a:t>346</a:t>
            </a:fld>
            <a:endParaRPr lang="en-US" sz="1600" b="1"/>
          </a:p>
        </xdr:txBody>
      </xdr:sp>
      <xdr:sp macro="" textlink="Calculations!E12">
        <xdr:nvSpPr>
          <xdr:cNvPr id="14" name="TextBox 13">
            <a:extLst>
              <a:ext uri="{FF2B5EF4-FFF2-40B4-BE49-F238E27FC236}">
                <a16:creationId xmlns:a16="http://schemas.microsoft.com/office/drawing/2014/main" id="{905B844D-05F4-4F81-9B0A-9DC0578A8022}"/>
              </a:ext>
            </a:extLst>
          </xdr:cNvPr>
          <xdr:cNvSpPr txBox="1"/>
        </xdr:nvSpPr>
        <xdr:spPr>
          <a:xfrm>
            <a:off x="5144770" y="1197610"/>
            <a:ext cx="999490" cy="2565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F124105-5CDD-4E16-B276-2AE4F0C81F9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/>
              <a:t>(95 this year)</a:t>
            </a:fld>
            <a:endParaRPr lang="en-US" sz="1200" b="1"/>
          </a:p>
        </xdr:txBody>
      </xdr:sp>
    </xdr:grpSp>
    <xdr:clientData/>
  </xdr:twoCellAnchor>
  <xdr:twoCellAnchor>
    <xdr:from>
      <xdr:col>6</xdr:col>
      <xdr:colOff>1511300</xdr:colOff>
      <xdr:row>4</xdr:row>
      <xdr:rowOff>134620</xdr:rowOff>
    </xdr:from>
    <xdr:to>
      <xdr:col>8</xdr:col>
      <xdr:colOff>972820</xdr:colOff>
      <xdr:row>8</xdr:row>
      <xdr:rowOff>137070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4FA2623-BDE9-C8C5-E4FC-142D918A422C}"/>
            </a:ext>
          </a:extLst>
        </xdr:cNvPr>
        <xdr:cNvGrpSpPr/>
      </xdr:nvGrpSpPr>
      <xdr:grpSpPr>
        <a:xfrm>
          <a:off x="6432550" y="871220"/>
          <a:ext cx="3366770" cy="739050"/>
          <a:chOff x="6424930" y="871220"/>
          <a:chExt cx="3376930" cy="727620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A303C2F5-2A7B-4A99-B07C-315D7CB9D1F9}"/>
              </a:ext>
            </a:extLst>
          </xdr:cNvPr>
          <xdr:cNvSpPr/>
        </xdr:nvSpPr>
        <xdr:spPr>
          <a:xfrm>
            <a:off x="6424930" y="871220"/>
            <a:ext cx="3376930" cy="72762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3592922-76F1-4D5A-876A-7428BD32D7B9}"/>
              </a:ext>
            </a:extLst>
          </xdr:cNvPr>
          <xdr:cNvSpPr txBox="1"/>
        </xdr:nvSpPr>
        <xdr:spPr>
          <a:xfrm>
            <a:off x="6616700" y="938530"/>
            <a:ext cx="154686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 b="1"/>
              <a:t>Total Tracking Balance</a:t>
            </a:r>
          </a:p>
          <a:p>
            <a:endParaRPr lang="en-US" sz="1100" b="1"/>
          </a:p>
        </xdr:txBody>
      </xdr:sp>
      <xdr:sp macro="" textlink="Calculations!E13">
        <xdr:nvSpPr>
          <xdr:cNvPr id="17" name="TextBox 16">
            <a:extLst>
              <a:ext uri="{FF2B5EF4-FFF2-40B4-BE49-F238E27FC236}">
                <a16:creationId xmlns:a16="http://schemas.microsoft.com/office/drawing/2014/main" id="{0AA2CC3D-F105-4808-B85B-8D7E9E2D98A2}"/>
              </a:ext>
            </a:extLst>
          </xdr:cNvPr>
          <xdr:cNvSpPr txBox="1"/>
        </xdr:nvSpPr>
        <xdr:spPr>
          <a:xfrm>
            <a:off x="6615430" y="1155700"/>
            <a:ext cx="687070" cy="3022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3126396-88F8-4B17-B241-46AEB5EAB46F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/>
              <a:t> 22 767 </a:t>
            </a:fld>
            <a:endParaRPr lang="en-US" sz="1800" b="1"/>
          </a:p>
        </xdr:txBody>
      </xdr:sp>
      <xdr:sp macro="" textlink="Calculations!E14">
        <xdr:nvSpPr>
          <xdr:cNvPr id="18" name="TextBox 17">
            <a:extLst>
              <a:ext uri="{FF2B5EF4-FFF2-40B4-BE49-F238E27FC236}">
                <a16:creationId xmlns:a16="http://schemas.microsoft.com/office/drawing/2014/main" id="{368D7E9F-3469-4EBF-AAAB-AA2C743A5D50}"/>
              </a:ext>
            </a:extLst>
          </xdr:cNvPr>
          <xdr:cNvSpPr txBox="1"/>
        </xdr:nvSpPr>
        <xdr:spPr>
          <a:xfrm>
            <a:off x="7184390" y="1196340"/>
            <a:ext cx="2426970" cy="2565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CDE2C5E-9A8E-4061-9C61-35252CCB7ACB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/>
              <a:t>of tracked income left to be allocated</a:t>
            </a:fld>
            <a:endParaRPr lang="en-US" sz="12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58859</xdr:colOff>
      <xdr:row>0</xdr:row>
      <xdr:rowOff>78741</xdr:rowOff>
    </xdr:from>
    <xdr:to>
      <xdr:col>26</xdr:col>
      <xdr:colOff>135880</xdr:colOff>
      <xdr:row>2</xdr:row>
      <xdr:rowOff>97267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2E48E7-DB48-8631-F9CF-061FACAA36CA}"/>
            </a:ext>
          </a:extLst>
        </xdr:cNvPr>
        <xdr:cNvSpPr txBox="1"/>
      </xdr:nvSpPr>
      <xdr:spPr>
        <a:xfrm>
          <a:off x="672194" y="78741"/>
          <a:ext cx="2209800" cy="369494"/>
        </a:xfrm>
        <a:prstGeom prst="rect">
          <a:avLst/>
        </a:prstGeom>
        <a:solidFill>
          <a:schemeClr val="tx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bg1"/>
              </a:solidFill>
            </a:rPr>
            <a:t>Budget Dashboard</a:t>
          </a:r>
        </a:p>
      </xdr:txBody>
    </xdr:sp>
    <xdr:clientData/>
  </xdr:twoCellAnchor>
  <xdr:twoCellAnchor editAs="oneCell">
    <xdr:from>
      <xdr:col>31</xdr:col>
      <xdr:colOff>134620</xdr:colOff>
      <xdr:row>12</xdr:row>
      <xdr:rowOff>114300</xdr:rowOff>
    </xdr:from>
    <xdr:to>
      <xdr:col>33</xdr:col>
      <xdr:colOff>24130</xdr:colOff>
      <xdr:row>14</xdr:row>
      <xdr:rowOff>62230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E50914-4062-826C-2A89-F6F1BB8733E8}"/>
            </a:ext>
          </a:extLst>
        </xdr:cNvPr>
        <xdr:cNvSpPr txBox="1"/>
      </xdr:nvSpPr>
      <xdr:spPr>
        <a:xfrm>
          <a:off x="6173470" y="2324100"/>
          <a:ext cx="1908810" cy="31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>
              <a:solidFill>
                <a:schemeClr val="accent6"/>
              </a:solidFill>
            </a:rPr>
            <a:t>Income</a:t>
          </a:r>
          <a:r>
            <a:rPr lang="pl-PL" sz="1100" b="1"/>
            <a:t> Categories (Tracked)</a:t>
          </a:r>
          <a:endParaRPr lang="en-US" sz="1100" b="1"/>
        </a:p>
      </xdr:txBody>
    </xdr:sp>
    <xdr:clientData/>
  </xdr:twoCellAnchor>
  <xdr:twoCellAnchor editAs="oneCell">
    <xdr:from>
      <xdr:col>31</xdr:col>
      <xdr:colOff>73660</xdr:colOff>
      <xdr:row>14</xdr:row>
      <xdr:rowOff>54610</xdr:rowOff>
    </xdr:from>
    <xdr:to>
      <xdr:col>32</xdr:col>
      <xdr:colOff>952500</xdr:colOff>
      <xdr:row>23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535F9C-2D4E-4992-A412-3B93AE2C3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31</xdr:col>
      <xdr:colOff>134620</xdr:colOff>
      <xdr:row>25</xdr:row>
      <xdr:rowOff>114300</xdr:rowOff>
    </xdr:from>
    <xdr:ext cx="1911350" cy="31242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F134DDC-9DEE-48C6-A9B4-F839A58E0BEF}"/>
            </a:ext>
          </a:extLst>
        </xdr:cNvPr>
        <xdr:cNvSpPr txBox="1"/>
      </xdr:nvSpPr>
      <xdr:spPr>
        <a:xfrm>
          <a:off x="6013450" y="2308860"/>
          <a:ext cx="191135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>
              <a:solidFill>
                <a:srgbClr val="C00000"/>
              </a:solidFill>
            </a:rPr>
            <a:t>Expenses</a:t>
          </a:r>
          <a:r>
            <a:rPr lang="pl-PL" sz="1100" b="1"/>
            <a:t> Categories (Tracked)</a:t>
          </a:r>
          <a:endParaRPr lang="en-US" sz="1100" b="1"/>
        </a:p>
      </xdr:txBody>
    </xdr:sp>
    <xdr:clientData/>
  </xdr:oneCellAnchor>
  <xdr:oneCellAnchor>
    <xdr:from>
      <xdr:col>31</xdr:col>
      <xdr:colOff>73660</xdr:colOff>
      <xdr:row>27</xdr:row>
      <xdr:rowOff>54610</xdr:rowOff>
    </xdr:from>
    <xdr:ext cx="1892300" cy="168529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2DAF931-47A8-4F39-B282-F2F128E34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38</xdr:col>
      <xdr:colOff>134620</xdr:colOff>
      <xdr:row>25</xdr:row>
      <xdr:rowOff>114300</xdr:rowOff>
    </xdr:from>
    <xdr:ext cx="1911350" cy="31242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1EBA7A-2550-46BE-9884-AAA69FEA0D54}"/>
            </a:ext>
          </a:extLst>
        </xdr:cNvPr>
        <xdr:cNvSpPr txBox="1"/>
      </xdr:nvSpPr>
      <xdr:spPr>
        <a:xfrm>
          <a:off x="10599420" y="4718050"/>
          <a:ext cx="191135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>
              <a:solidFill>
                <a:srgbClr val="0070C0"/>
              </a:solidFill>
            </a:rPr>
            <a:t>Savings</a:t>
          </a:r>
          <a:r>
            <a:rPr lang="pl-PL" sz="1100" b="1"/>
            <a:t> Categories (Tracked)</a:t>
          </a:r>
          <a:endParaRPr lang="en-US" sz="1100" b="1"/>
        </a:p>
      </xdr:txBody>
    </xdr:sp>
    <xdr:clientData/>
  </xdr:oneCellAnchor>
  <xdr:oneCellAnchor>
    <xdr:from>
      <xdr:col>38</xdr:col>
      <xdr:colOff>73660</xdr:colOff>
      <xdr:row>27</xdr:row>
      <xdr:rowOff>54610</xdr:rowOff>
    </xdr:from>
    <xdr:ext cx="1892300" cy="168529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AA91D7D-CB2C-4F68-9B45-4329F331C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38</xdr:col>
      <xdr:colOff>134620</xdr:colOff>
      <xdr:row>12</xdr:row>
      <xdr:rowOff>114300</xdr:rowOff>
    </xdr:from>
    <xdr:to>
      <xdr:col>40</xdr:col>
      <xdr:colOff>24130</xdr:colOff>
      <xdr:row>14</xdr:row>
      <xdr:rowOff>62230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6B0C9B3-44FD-4480-BB0D-B3E98EB940A5}"/>
            </a:ext>
          </a:extLst>
        </xdr:cNvPr>
        <xdr:cNvSpPr txBox="1"/>
      </xdr:nvSpPr>
      <xdr:spPr>
        <a:xfrm>
          <a:off x="10599420" y="2324100"/>
          <a:ext cx="1908810" cy="31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>
              <a:solidFill>
                <a:sysClr val="windowText" lastClr="000000"/>
              </a:solidFill>
            </a:rPr>
            <a:t>Tracked</a:t>
          </a:r>
          <a:r>
            <a:rPr lang="pl-PL" sz="1100" b="1" baseline="0">
              <a:solidFill>
                <a:sysClr val="windowText" lastClr="000000"/>
              </a:solidFill>
            </a:rPr>
            <a:t> (Vs. Budget)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156883</xdr:colOff>
      <xdr:row>13</xdr:row>
      <xdr:rowOff>137160</xdr:rowOff>
    </xdr:from>
    <xdr:to>
      <xdr:col>43</xdr:col>
      <xdr:colOff>400871</xdr:colOff>
      <xdr:row>23</xdr:row>
      <xdr:rowOff>101545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2C5898-CCF4-4B7F-9EA4-9E69A2275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857250</xdr:colOff>
          <xdr:row>13</xdr:row>
          <xdr:rowOff>25400</xdr:rowOff>
        </xdr:from>
        <xdr:to>
          <xdr:col>41</xdr:col>
          <xdr:colOff>723900</xdr:colOff>
          <xdr:row>14</xdr:row>
          <xdr:rowOff>63500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3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Income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857250</xdr:colOff>
          <xdr:row>14</xdr:row>
          <xdr:rowOff>57150</xdr:rowOff>
        </xdr:from>
        <xdr:to>
          <xdr:col>41</xdr:col>
          <xdr:colOff>742950</xdr:colOff>
          <xdr:row>15</xdr:row>
          <xdr:rowOff>95250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3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Expenses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857250</xdr:colOff>
          <xdr:row>15</xdr:row>
          <xdr:rowOff>101600</xdr:rowOff>
        </xdr:from>
        <xdr:to>
          <xdr:col>41</xdr:col>
          <xdr:colOff>723900</xdr:colOff>
          <xdr:row>16</xdr:row>
          <xdr:rowOff>139700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3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Savings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6350</xdr:colOff>
          <xdr:row>13</xdr:row>
          <xdr:rowOff>31750</xdr:rowOff>
        </xdr:from>
        <xdr:to>
          <xdr:col>43</xdr:col>
          <xdr:colOff>425450</xdr:colOff>
          <xdr:row>14</xdr:row>
          <xdr:rowOff>63500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3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Budget</a:t>
              </a:r>
            </a:p>
          </xdr:txBody>
        </xdr:sp>
        <xdr:clientData/>
      </xdr:twoCellAnchor>
    </mc:Choice>
    <mc:Fallback/>
  </mc:AlternateContent>
  <xdr:twoCellAnchor>
    <xdr:from>
      <xdr:col>24</xdr:col>
      <xdr:colOff>21667</xdr:colOff>
      <xdr:row>4</xdr:row>
      <xdr:rowOff>174335</xdr:rowOff>
    </xdr:from>
    <xdr:to>
      <xdr:col>26</xdr:col>
      <xdr:colOff>176359</xdr:colOff>
      <xdr:row>8</xdr:row>
      <xdr:rowOff>152886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59459E24-8C1A-3B18-6521-DECBA35E6F12}"/>
            </a:ext>
          </a:extLst>
        </xdr:cNvPr>
        <xdr:cNvGrpSpPr/>
      </xdr:nvGrpSpPr>
      <xdr:grpSpPr>
        <a:xfrm>
          <a:off x="788244" y="906587"/>
          <a:ext cx="2145502" cy="710804"/>
          <a:chOff x="788350" y="911253"/>
          <a:chExt cx="2136686" cy="718008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130306B5-4C9B-DFA8-04D1-26DFA6D65C01}"/>
              </a:ext>
            </a:extLst>
          </xdr:cNvPr>
          <xdr:cNvSpPr/>
        </xdr:nvSpPr>
        <xdr:spPr>
          <a:xfrm>
            <a:off x="788350" y="911253"/>
            <a:ext cx="2136686" cy="718008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CAAC14F-5CC2-E4FF-9F77-626EC4D20229}"/>
              </a:ext>
            </a:extLst>
          </xdr:cNvPr>
          <xdr:cNvSpPr txBox="1"/>
        </xdr:nvSpPr>
        <xdr:spPr>
          <a:xfrm>
            <a:off x="944343" y="946203"/>
            <a:ext cx="1829888" cy="2882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 b="1"/>
              <a:t>Selected Year &amp;</a:t>
            </a:r>
            <a:r>
              <a:rPr lang="pl-PL" sz="1100" b="1" baseline="0"/>
              <a:t> Period</a:t>
            </a:r>
            <a:endParaRPr lang="en-US" sz="1100" b="1"/>
          </a:p>
        </xdr:txBody>
      </xdr:sp>
      <xdr:sp macro="" textlink="selected_year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F17FE0A5-4AAF-B3A8-4371-F86F27327533}"/>
              </a:ext>
            </a:extLst>
          </xdr:cNvPr>
          <xdr:cNvSpPr/>
        </xdr:nvSpPr>
        <xdr:spPr>
          <a:xfrm>
            <a:off x="978313" y="1297816"/>
            <a:ext cx="595556" cy="193877"/>
          </a:xfrm>
          <a:prstGeom prst="roundRect">
            <a:avLst>
              <a:gd name="adj" fmla="val 50000"/>
            </a:avLst>
          </a:prstGeom>
          <a:solidFill>
            <a:schemeClr val="bg1">
              <a:lumMod val="95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BC5B96B-9865-47AD-97D3-AFAD5BE5FA96}" type="TxLink">
              <a:rPr lang="en-US" sz="1000" b="1" i="0" u="none" strike="noStrike">
                <a:solidFill>
                  <a:srgbClr val="000000"/>
                </a:solidFill>
                <a:latin typeface="Aptos Narrow"/>
              </a:rPr>
              <a:pPr algn="ctr"/>
              <a:t>2026</a:t>
            </a:fld>
            <a:endParaRPr lang="en-US" sz="1000" b="1"/>
          </a:p>
        </xdr:txBody>
      </xdr:sp>
      <xdr:sp macro="" textlink="selected_period_display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A5B01CD7-CAF3-4AD6-98DB-8F667C905A8A}"/>
              </a:ext>
            </a:extLst>
          </xdr:cNvPr>
          <xdr:cNvSpPr/>
        </xdr:nvSpPr>
        <xdr:spPr>
          <a:xfrm>
            <a:off x="1681697" y="1301626"/>
            <a:ext cx="868253" cy="196417"/>
          </a:xfrm>
          <a:prstGeom prst="roundRect">
            <a:avLst>
              <a:gd name="adj" fmla="val 50000"/>
            </a:avLst>
          </a:prstGeom>
          <a:solidFill>
            <a:schemeClr val="bg1">
              <a:lumMod val="95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D1E9F77-D89B-4CFA-879B-1A86574421A0}" type="TxLink">
              <a:rPr lang="en-US" sz="1000" b="1" i="0" u="none" strike="noStrike">
                <a:solidFill>
                  <a:srgbClr val="000000"/>
                </a:solidFill>
                <a:latin typeface="Aptos Narrow"/>
              </a:rPr>
              <a:pPr algn="ctr"/>
              <a:t>Total Year</a:t>
            </a:fld>
            <a:endParaRPr lang="en-US" sz="800" b="1"/>
          </a:p>
        </xdr:txBody>
      </xdr:sp>
    </xdr:grpSp>
    <xdr:clientData/>
  </xdr:twoCellAnchor>
  <xdr:twoCellAnchor>
    <xdr:from>
      <xdr:col>26</xdr:col>
      <xdr:colOff>416718</xdr:colOff>
      <xdr:row>4</xdr:row>
      <xdr:rowOff>176875</xdr:rowOff>
    </xdr:from>
    <xdr:to>
      <xdr:col>28</xdr:col>
      <xdr:colOff>480934</xdr:colOff>
      <xdr:row>8</xdr:row>
      <xdr:rowOff>173928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FCE8F0F2-937B-3FFC-7A0D-82502CB678F8}"/>
            </a:ext>
          </a:extLst>
        </xdr:cNvPr>
        <xdr:cNvGrpSpPr/>
      </xdr:nvGrpSpPr>
      <xdr:grpSpPr>
        <a:xfrm>
          <a:off x="3174105" y="909127"/>
          <a:ext cx="1288451" cy="729306"/>
          <a:chOff x="3173170" y="917727"/>
          <a:chExt cx="1282146" cy="739174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88CD8269-6F6A-8F3B-3719-D6AAC392EBE3}"/>
              </a:ext>
            </a:extLst>
          </xdr:cNvPr>
          <xdr:cNvSpPr/>
        </xdr:nvSpPr>
        <xdr:spPr>
          <a:xfrm>
            <a:off x="3173170" y="917727"/>
            <a:ext cx="1282146" cy="739174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E1135A7-C75D-A5CB-F572-4A9231ADA5DC}"/>
              </a:ext>
            </a:extLst>
          </xdr:cNvPr>
          <xdr:cNvSpPr txBox="1"/>
        </xdr:nvSpPr>
        <xdr:spPr>
          <a:xfrm>
            <a:off x="3329627" y="967572"/>
            <a:ext cx="1029707" cy="2837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 b="1"/>
              <a:t>Period Compl.</a:t>
            </a:r>
            <a:endParaRPr lang="en-US" sz="1100" b="1"/>
          </a:p>
        </xdr:txBody>
      </xdr: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7B381B63-4006-4829-AAEF-ABBD8A84825C}"/>
              </a:ext>
            </a:extLst>
          </xdr:cNvPr>
          <xdr:cNvGraphicFramePr>
            <a:graphicFrameLocks/>
          </xdr:cNvGraphicFramePr>
        </xdr:nvGraphicFramePr>
        <xdr:xfrm>
          <a:off x="3273170" y="1102358"/>
          <a:ext cx="1103857" cy="5196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Calculations!E24">
        <xdr:nvSpPr>
          <xdr:cNvPr id="26" name="Rectangle 25">
            <a:extLst>
              <a:ext uri="{FF2B5EF4-FFF2-40B4-BE49-F238E27FC236}">
                <a16:creationId xmlns:a16="http://schemas.microsoft.com/office/drawing/2014/main" id="{747FEE03-C02D-916E-45CA-DE14C35A36D1}"/>
              </a:ext>
            </a:extLst>
          </xdr:cNvPr>
          <xdr:cNvSpPr/>
        </xdr:nvSpPr>
        <xdr:spPr>
          <a:xfrm>
            <a:off x="3563368" y="1220470"/>
            <a:ext cx="563494" cy="28083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973D28C3-320C-4CD7-8F5F-163345C38310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 algn="l"/>
              <a:t>36%</a:t>
            </a:fld>
            <a:endParaRPr lang="en-US" sz="1200" b="1"/>
          </a:p>
        </xdr:txBody>
      </xdr:sp>
    </xdr:grpSp>
    <xdr:clientData/>
  </xdr:twoCellAnchor>
  <xdr:twoCellAnchor>
    <xdr:from>
      <xdr:col>29</xdr:col>
      <xdr:colOff>99667</xdr:colOff>
      <xdr:row>4</xdr:row>
      <xdr:rowOff>173065</xdr:rowOff>
    </xdr:from>
    <xdr:to>
      <xdr:col>33</xdr:col>
      <xdr:colOff>2705</xdr:colOff>
      <xdr:row>8</xdr:row>
      <xdr:rowOff>175074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3B8774F8-9166-43D7-9777-87EA8C4AB19F}"/>
            </a:ext>
          </a:extLst>
        </xdr:cNvPr>
        <xdr:cNvGrpSpPr/>
      </xdr:nvGrpSpPr>
      <xdr:grpSpPr>
        <a:xfrm>
          <a:off x="4693406" y="905317"/>
          <a:ext cx="3369794" cy="734262"/>
          <a:chOff x="6424930" y="871220"/>
          <a:chExt cx="3376930" cy="727620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79209A25-7FC5-27D9-3A29-38E8E62C7CD9}"/>
              </a:ext>
            </a:extLst>
          </xdr:cNvPr>
          <xdr:cNvSpPr/>
        </xdr:nvSpPr>
        <xdr:spPr>
          <a:xfrm>
            <a:off x="6424930" y="871220"/>
            <a:ext cx="3376930" cy="72762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8027C7B9-5FAF-04AF-CC55-04A861D93160}"/>
              </a:ext>
            </a:extLst>
          </xdr:cNvPr>
          <xdr:cNvSpPr txBox="1"/>
        </xdr:nvSpPr>
        <xdr:spPr>
          <a:xfrm>
            <a:off x="6616700" y="938530"/>
            <a:ext cx="154686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 b="1"/>
              <a:t>Period Tracking Balance</a:t>
            </a:r>
          </a:p>
          <a:p>
            <a:endParaRPr lang="en-US" sz="1100" b="1"/>
          </a:p>
        </xdr:txBody>
      </xdr:sp>
      <xdr:sp macro="" textlink="Calculations!E25">
        <xdr:nvSpPr>
          <xdr:cNvPr id="31" name="TextBox 30">
            <a:extLst>
              <a:ext uri="{FF2B5EF4-FFF2-40B4-BE49-F238E27FC236}">
                <a16:creationId xmlns:a16="http://schemas.microsoft.com/office/drawing/2014/main" id="{1C5AAB2C-8A03-DE69-04B0-2184DD683E31}"/>
              </a:ext>
            </a:extLst>
          </xdr:cNvPr>
          <xdr:cNvSpPr txBox="1"/>
        </xdr:nvSpPr>
        <xdr:spPr>
          <a:xfrm>
            <a:off x="6615430" y="1155700"/>
            <a:ext cx="687070" cy="3022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BDDB38E-A418-49E2-96B1-2A068FF8D149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 algn="ctr"/>
              <a:t> 10 731 </a:t>
            </a:fld>
            <a:endParaRPr lang="en-US" sz="2000" b="1"/>
          </a:p>
        </xdr:txBody>
      </xdr:sp>
      <xdr:sp macro="" textlink="Calculations!E26">
        <xdr:nvSpPr>
          <xdr:cNvPr id="32" name="TextBox 31">
            <a:extLst>
              <a:ext uri="{FF2B5EF4-FFF2-40B4-BE49-F238E27FC236}">
                <a16:creationId xmlns:a16="http://schemas.microsoft.com/office/drawing/2014/main" id="{2B04C916-A93A-3DD3-1C1B-7645F08DEFA0}"/>
              </a:ext>
            </a:extLst>
          </xdr:cNvPr>
          <xdr:cNvSpPr txBox="1"/>
        </xdr:nvSpPr>
        <xdr:spPr>
          <a:xfrm>
            <a:off x="7184391" y="1196340"/>
            <a:ext cx="1963576" cy="2565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E432336-AF6E-4368-B90D-D4E9AE28F35B}" type="TxLink">
              <a:rPr lang="en-US" sz="1050" b="0" i="0" u="none" strike="noStrike">
                <a:solidFill>
                  <a:srgbClr val="000000"/>
                </a:solidFill>
                <a:latin typeface="Aptos Narrow"/>
              </a:rPr>
              <a:pPr/>
              <a:t>of tracked income left to be allocated</a:t>
            </a:fld>
            <a:endParaRPr lang="en-US" sz="1100" b="1"/>
          </a:p>
        </xdr:txBody>
      </xdr:sp>
    </xdr:grpSp>
    <xdr:clientData/>
  </xdr:twoCellAnchor>
  <xdr:twoCellAnchor>
    <xdr:from>
      <xdr:col>34</xdr:col>
      <xdr:colOff>134343</xdr:colOff>
      <xdr:row>4</xdr:row>
      <xdr:rowOff>175605</xdr:rowOff>
    </xdr:from>
    <xdr:to>
      <xdr:col>39</xdr:col>
      <xdr:colOff>210929</xdr:colOff>
      <xdr:row>8</xdr:row>
      <xdr:rowOff>172534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52BC22D-C2DC-4D20-A1BC-54383B2B04E8}"/>
            </a:ext>
          </a:extLst>
        </xdr:cNvPr>
        <xdr:cNvGrpSpPr/>
      </xdr:nvGrpSpPr>
      <xdr:grpSpPr>
        <a:xfrm>
          <a:off x="8303532" y="907857"/>
          <a:ext cx="3383163" cy="729182"/>
          <a:chOff x="6424930" y="871220"/>
          <a:chExt cx="3376930" cy="727620"/>
        </a:xfrm>
      </xdr:grpSpPr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48659E7F-F6CE-0D4B-61D1-97E1AF8172A1}"/>
              </a:ext>
            </a:extLst>
          </xdr:cNvPr>
          <xdr:cNvSpPr/>
        </xdr:nvSpPr>
        <xdr:spPr>
          <a:xfrm>
            <a:off x="6424930" y="871220"/>
            <a:ext cx="3376930" cy="72762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prstClr val="black">
                <a:alpha val="1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1B00DB59-7C0D-F0D4-FD13-D0425BBC5CE8}"/>
              </a:ext>
            </a:extLst>
          </xdr:cNvPr>
          <xdr:cNvSpPr txBox="1"/>
        </xdr:nvSpPr>
        <xdr:spPr>
          <a:xfrm>
            <a:off x="6616700" y="938530"/>
            <a:ext cx="1546860" cy="2590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100" b="1"/>
              <a:t>Period Savings Rate</a:t>
            </a:r>
          </a:p>
          <a:p>
            <a:endParaRPr lang="en-US" sz="1100" b="1"/>
          </a:p>
        </xdr:txBody>
      </xdr:sp>
      <xdr:sp macro="" textlink="Calculations!E27">
        <xdr:nvSpPr>
          <xdr:cNvPr id="36" name="TextBox 35">
            <a:extLst>
              <a:ext uri="{FF2B5EF4-FFF2-40B4-BE49-F238E27FC236}">
                <a16:creationId xmlns:a16="http://schemas.microsoft.com/office/drawing/2014/main" id="{9A1B7DDA-D22F-083C-5C2E-C184A1BA0CCD}"/>
              </a:ext>
            </a:extLst>
          </xdr:cNvPr>
          <xdr:cNvSpPr txBox="1"/>
        </xdr:nvSpPr>
        <xdr:spPr>
          <a:xfrm>
            <a:off x="7497431" y="1214078"/>
            <a:ext cx="687070" cy="3022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178E662-4D86-4109-91CE-FE3BFC0DA302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47,0%</a:t>
            </a:fld>
            <a:endParaRPr lang="en-US" sz="2400" b="1">
              <a:solidFill>
                <a:schemeClr val="accent4"/>
              </a:solidFill>
            </a:endParaRPr>
          </a:p>
        </xdr:txBody>
      </xdr:sp>
      <xdr:sp macro="" textlink="Calculations!E26">
        <xdr:nvSpPr>
          <xdr:cNvPr id="37" name="TextBox 36">
            <a:extLst>
              <a:ext uri="{FF2B5EF4-FFF2-40B4-BE49-F238E27FC236}">
                <a16:creationId xmlns:a16="http://schemas.microsoft.com/office/drawing/2014/main" id="{A6175071-0133-F9F8-C369-F64A41E985CC}"/>
              </a:ext>
            </a:extLst>
          </xdr:cNvPr>
          <xdr:cNvSpPr txBox="1"/>
        </xdr:nvSpPr>
        <xdr:spPr>
          <a:xfrm>
            <a:off x="6618278" y="1230415"/>
            <a:ext cx="952192" cy="2565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050" b="0" i="0" u="none" strike="noStrike">
                <a:solidFill>
                  <a:srgbClr val="000000"/>
                </a:solidFill>
                <a:latin typeface="Aptos Narrow"/>
              </a:rPr>
              <a:t>You are</a:t>
            </a:r>
            <a:r>
              <a:rPr lang="pl-PL" sz="1050" b="0" i="0" u="none" strike="noStrike" baseline="0">
                <a:solidFill>
                  <a:srgbClr val="000000"/>
                </a:solidFill>
                <a:latin typeface="Aptos Narrow"/>
              </a:rPr>
              <a:t> saving</a:t>
            </a:r>
            <a:endParaRPr lang="en-US" sz="1100" b="1"/>
          </a:p>
        </xdr:txBody>
      </xdr:sp>
    </xdr:grpSp>
    <xdr:clientData/>
  </xdr:twoCellAnchor>
  <xdr:twoCellAnchor>
    <xdr:from>
      <xdr:col>36</xdr:col>
      <xdr:colOff>252066</xdr:colOff>
      <xdr:row>6</xdr:row>
      <xdr:rowOff>175605</xdr:rowOff>
    </xdr:from>
    <xdr:to>
      <xdr:col>38</xdr:col>
      <xdr:colOff>695740</xdr:colOff>
      <xdr:row>8</xdr:row>
      <xdr:rowOff>61004</xdr:rowOff>
    </xdr:to>
    <xdr:sp macro="" textlink="Calculations!E26">
      <xdr:nvSpPr>
        <xdr:cNvPr id="38" name="TextBox 37">
          <a:extLst>
            <a:ext uri="{FF2B5EF4-FFF2-40B4-BE49-F238E27FC236}">
              <a16:creationId xmlns:a16="http://schemas.microsoft.com/office/drawing/2014/main" id="{B12DA9ED-A579-4C2C-8856-CBC9C1D454E7}"/>
            </a:ext>
          </a:extLst>
        </xdr:cNvPr>
        <xdr:cNvSpPr txBox="1"/>
      </xdr:nvSpPr>
      <xdr:spPr>
        <a:xfrm>
          <a:off x="9972536" y="1288788"/>
          <a:ext cx="1199047" cy="2564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050" b="0" i="0" u="none" strike="noStrike">
              <a:solidFill>
                <a:srgbClr val="000000"/>
              </a:solidFill>
              <a:latin typeface="Aptos Narrow"/>
            </a:rPr>
            <a:t>of your</a:t>
          </a:r>
          <a:r>
            <a:rPr lang="pl-PL" sz="1050" b="0" i="0" u="none" strike="noStrike" baseline="0">
              <a:solidFill>
                <a:srgbClr val="000000"/>
              </a:solidFill>
              <a:latin typeface="Aptos Narrow"/>
            </a:rPr>
            <a:t> income.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138430</xdr:colOff>
      <xdr:row>0</xdr:row>
      <xdr:rowOff>100330</xdr:rowOff>
    </xdr:from>
    <xdr:to>
      <xdr:col>3</xdr:col>
      <xdr:colOff>482600</xdr:colOff>
      <xdr:row>2</xdr:row>
      <xdr:rowOff>101524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419714-6962-4827-93D1-46F2A1BDA7CD}"/>
            </a:ext>
          </a:extLst>
        </xdr:cNvPr>
        <xdr:cNvSpPr txBox="1"/>
      </xdr:nvSpPr>
      <xdr:spPr>
        <a:xfrm>
          <a:off x="739140" y="91440"/>
          <a:ext cx="2209800" cy="378384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2000" b="1">
              <a:solidFill>
                <a:schemeClr val="tx2"/>
              </a:solidFill>
            </a:rPr>
            <a:t>Dropdown</a:t>
          </a:r>
          <a:r>
            <a:rPr lang="pl-PL" sz="2000" b="1" baseline="0">
              <a:solidFill>
                <a:schemeClr val="tx2"/>
              </a:solidFill>
            </a:rPr>
            <a:t> Data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F27EA-5157-42F9-B5A8-0A8B9D905A47}" name="Income" displayName="Income" ref="C9:C13" totalsRowShown="0" headerRowDxfId="65" dataDxfId="64">
  <autoFilter ref="C9:C13" xr:uid="{C63F27EA-5157-42F9-B5A8-0A8B9D905A47}">
    <filterColumn colId="0" hiddenButton="1"/>
  </autoFilter>
  <tableColumns count="1">
    <tableColumn id="1" xr3:uid="{2EA2DC3B-0A70-4128-BADA-289FA8D2F112}" name="Income" dataDxfId="63"/>
  </tableColumns>
  <tableStyleInfo name="Income Table 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DCBDC6-55BC-48CC-A372-31C703D5DFE7}" name="Expenses" displayName="Expenses" ref="C22:C28" totalsRowShown="0" headerRowDxfId="62" dataDxfId="61">
  <autoFilter ref="C22:C28" xr:uid="{58DCBDC6-55BC-48CC-A372-31C703D5DFE7}">
    <filterColumn colId="0" hiddenButton="1"/>
  </autoFilter>
  <tableColumns count="1">
    <tableColumn id="1" xr3:uid="{0C44A751-C0CA-4E96-B413-56D6FD88858F}" name="Expenses" dataDxfId="60"/>
  </tableColumns>
  <tableStyleInfo name="Expenses Table Style 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6C3617-3154-49E2-821A-8F57F23AB362}" name="Savings" displayName="Savings" ref="C32:C36" totalsRowShown="0" headerRowDxfId="59" dataDxfId="58">
  <autoFilter ref="C32:C36" xr:uid="{EA6C3617-3154-49E2-821A-8F57F23AB362}">
    <filterColumn colId="0" hiddenButton="1"/>
  </autoFilter>
  <tableColumns count="1">
    <tableColumn id="1" xr3:uid="{67208B74-AD51-4819-9B08-98E90D19E1BD}" name="Savings" dataDxfId="57"/>
  </tableColumns>
  <tableStyleInfo name="Savings Table Style 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C37259-C7B2-4914-8F0F-A66662E8DAB8}" name="Tracking" displayName="Tracking" ref="C11:I357" totalsRowShown="0" headerRowDxfId="56" dataDxfId="55">
  <autoFilter ref="C11:I357" xr:uid="{35C37259-C7B2-4914-8F0F-A66662E8DAB8}"/>
  <tableColumns count="7">
    <tableColumn id="1" xr3:uid="{819B2E34-24AE-4E4C-9424-67B8BE87560A}" name="Date" dataDxfId="54"/>
    <tableColumn id="2" xr3:uid="{466EED46-1AA2-41C8-A021-FBB57BE95903}" name="Type" dataDxfId="53"/>
    <tableColumn id="3" xr3:uid="{408DDE12-4343-4F38-8B34-C8DA87604637}" name="Category" dataDxfId="52"/>
    <tableColumn id="4" xr3:uid="{510DE702-9BA8-455C-A360-2ADE8951CFAF}" name="Amount" dataDxfId="51" dataCellStyle="Comma"/>
    <tableColumn id="5" xr3:uid="{E22CDEFC-2581-4DC8-9899-77E3120A88ED}" name="Details" dataDxfId="50"/>
    <tableColumn id="6" xr3:uid="{86207209-D6FB-43D7-805C-7B60719A3FDC}" name="Balance" dataDxfId="49" dataCellStyle="Comma">
      <calculatedColumnFormula array="1">SUMPRODUCT(Tracking[Amount], --(Tracking[Date]&lt;=Tracking[[#This Row],[Date]]), (Tracking[Type]&lt;&gt;"Income")*(-1)+(Tracking[Type]="Income"))</calculatedColumnFormula>
    </tableColumn>
    <tableColumn id="7" xr3:uid="{174D13B3-7D62-4192-8BA1-74200AC79093}" name="Effective Date" dataDxfId="48">
      <calculatedColumnFormula>IF(AND(Tracking[[#This Row],[Type]]="Income", Shift_late_income_status="Active",DAY(Tracking[[#This Row],[Date]])&gt;=Shift_late_starting_day),DATE(YEAR(Tracking[[#This Row],[Date]]),MONTH(Tracking[[#This Row],[Date]])+1,1),Tracking[[#This Row],[Date]])</calculatedColumnFormula>
    </tableColumn>
  </tableColumns>
  <tableStyleInfo name="Tracking Table 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1B23-1289-48CD-B606-94341BF402A6}">
  <dimension ref="B1:H25"/>
  <sheetViews>
    <sheetView showGridLines="0" workbookViewId="0">
      <selection activeCell="E25" sqref="E25"/>
    </sheetView>
  </sheetViews>
  <sheetFormatPr defaultRowHeight="14.5" x14ac:dyDescent="0.35"/>
  <cols>
    <col min="3" max="3" width="3.08984375" customWidth="1"/>
    <col min="4" max="4" width="27.90625" bestFit="1" customWidth="1"/>
    <col min="5" max="5" width="22.08984375" bestFit="1" customWidth="1"/>
    <col min="6" max="6" width="1.81640625" customWidth="1"/>
    <col min="7" max="7" width="35.54296875" customWidth="1"/>
    <col min="8" max="8" width="3.08984375" customWidth="1"/>
  </cols>
  <sheetData>
    <row r="1" spans="2:8" s="1" customFormat="1" ht="14.5" customHeight="1" x14ac:dyDescent="0.35">
      <c r="B1" s="103" t="s">
        <v>0</v>
      </c>
      <c r="C1" s="103"/>
      <c r="D1" s="103"/>
    </row>
    <row r="2" spans="2:8" s="1" customFormat="1" x14ac:dyDescent="0.35">
      <c r="B2" s="103"/>
      <c r="C2" s="103"/>
      <c r="D2" s="103"/>
    </row>
    <row r="3" spans="2:8" s="1" customFormat="1" x14ac:dyDescent="0.35">
      <c r="B3" s="103"/>
      <c r="C3" s="103"/>
      <c r="D3" s="103"/>
    </row>
    <row r="6" spans="2:8" x14ac:dyDescent="0.35">
      <c r="C6" s="110" t="s">
        <v>1</v>
      </c>
      <c r="D6" s="111"/>
      <c r="E6" s="111"/>
      <c r="F6" s="111"/>
      <c r="G6" s="111"/>
      <c r="H6" s="111"/>
    </row>
    <row r="7" spans="2:8" x14ac:dyDescent="0.35">
      <c r="C7" s="2"/>
      <c r="H7" s="3"/>
    </row>
    <row r="8" spans="2:8" x14ac:dyDescent="0.35">
      <c r="C8" s="2"/>
      <c r="D8" s="7" t="s">
        <v>2</v>
      </c>
      <c r="E8" s="8">
        <v>2025</v>
      </c>
      <c r="G8" s="9"/>
      <c r="H8" s="3"/>
    </row>
    <row r="9" spans="2:8" x14ac:dyDescent="0.35">
      <c r="C9" s="4"/>
      <c r="D9" s="5"/>
      <c r="E9" s="5"/>
      <c r="F9" s="5"/>
      <c r="G9" s="5"/>
      <c r="H9" s="6"/>
    </row>
    <row r="12" spans="2:8" x14ac:dyDescent="0.35">
      <c r="C12" s="110" t="s">
        <v>29</v>
      </c>
      <c r="D12" s="111"/>
      <c r="E12" s="111"/>
      <c r="F12" s="111"/>
      <c r="G12" s="111"/>
      <c r="H12" s="111"/>
    </row>
    <row r="13" spans="2:8" x14ac:dyDescent="0.35">
      <c r="C13" s="31"/>
      <c r="D13" s="32"/>
      <c r="E13" s="32"/>
      <c r="F13" s="32"/>
      <c r="G13" s="32"/>
      <c r="H13" s="33"/>
    </row>
    <row r="14" spans="2:8" ht="16" x14ac:dyDescent="0.4">
      <c r="C14" s="2"/>
      <c r="D14" s="34" t="s">
        <v>30</v>
      </c>
      <c r="H14" s="3"/>
    </row>
    <row r="15" spans="2:8" x14ac:dyDescent="0.35">
      <c r="C15" s="2"/>
      <c r="H15" s="3"/>
    </row>
    <row r="16" spans="2:8" x14ac:dyDescent="0.35">
      <c r="C16" s="2"/>
      <c r="D16" s="10" t="s">
        <v>31</v>
      </c>
      <c r="E16" s="8" t="s">
        <v>32</v>
      </c>
      <c r="G16" s="9"/>
      <c r="H16" s="3"/>
    </row>
    <row r="17" spans="3:8" ht="9" customHeight="1" x14ac:dyDescent="0.35">
      <c r="C17" s="2"/>
      <c r="H17" s="3"/>
    </row>
    <row r="18" spans="3:8" x14ac:dyDescent="0.35">
      <c r="C18" s="2"/>
      <c r="D18" s="10" t="s">
        <v>33</v>
      </c>
      <c r="E18" s="8">
        <v>20</v>
      </c>
      <c r="H18" s="3"/>
    </row>
    <row r="19" spans="3:8" x14ac:dyDescent="0.35">
      <c r="C19" s="2"/>
      <c r="H19" s="3"/>
    </row>
    <row r="20" spans="3:8" ht="16" x14ac:dyDescent="0.4">
      <c r="C20" s="2"/>
      <c r="D20" s="34" t="s">
        <v>101</v>
      </c>
      <c r="H20" s="3"/>
    </row>
    <row r="21" spans="3:8" x14ac:dyDescent="0.35">
      <c r="C21" s="2"/>
      <c r="H21" s="3"/>
    </row>
    <row r="22" spans="3:8" x14ac:dyDescent="0.35">
      <c r="C22" s="2"/>
      <c r="D22" s="10" t="s">
        <v>102</v>
      </c>
      <c r="E22" s="8" t="s">
        <v>105</v>
      </c>
      <c r="H22" s="3"/>
    </row>
    <row r="23" spans="3:8" x14ac:dyDescent="0.35">
      <c r="C23" s="2"/>
      <c r="D23" s="10"/>
      <c r="E23" s="95"/>
      <c r="H23" s="3"/>
    </row>
    <row r="24" spans="3:8" x14ac:dyDescent="0.35">
      <c r="C24" s="2"/>
      <c r="D24" s="10"/>
      <c r="E24" s="95"/>
      <c r="H24" s="3"/>
    </row>
    <row r="25" spans="3:8" x14ac:dyDescent="0.35">
      <c r="C25" s="4"/>
      <c r="D25" s="5"/>
      <c r="E25" s="5"/>
      <c r="F25" s="5"/>
      <c r="G25" s="5"/>
      <c r="H25" s="6"/>
    </row>
  </sheetData>
  <mergeCells count="3">
    <mergeCell ref="C6:H6"/>
    <mergeCell ref="B1:D3"/>
    <mergeCell ref="C12:H12"/>
  </mergeCells>
  <conditionalFormatting sqref="E18">
    <cfRule type="expression" dxfId="47" priority="1">
      <formula>Shift_late_income_status="Inactive"</formula>
    </cfRule>
  </conditionalFormatting>
  <dataValidations count="2">
    <dataValidation type="list" allowBlank="1" showInputMessage="1" showErrorMessage="1" sqref="E16" xr:uid="{2385BA31-891C-4CA4-A00A-2963B4EE70D0}">
      <formula1>"Active, Inactive"</formula1>
    </dataValidation>
    <dataValidation type="list" allowBlank="1" showInputMessage="1" showErrorMessage="1" sqref="E22:E24" xr:uid="{13DBDE73-CB16-46CF-B815-629D2F8922C0}">
      <formula1>"% allocated to Savings, % not allocated to Expenses"</formula1>
    </dataValidation>
  </dataValidations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FEB3-A07D-4BBB-BFEC-25EFE83DA2C6}">
  <dimension ref="B1:AS43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V21" sqref="AV21"/>
    </sheetView>
  </sheetViews>
  <sheetFormatPr defaultRowHeight="14.5" outlineLevelCol="1" x14ac:dyDescent="0.35"/>
  <cols>
    <col min="1" max="1" width="3.7265625" customWidth="1"/>
    <col min="2" max="2" width="2.26953125" customWidth="1"/>
    <col min="3" max="3" width="31.7265625" customWidth="1"/>
    <col min="4" max="4" width="1.453125" customWidth="1"/>
    <col min="5" max="16" width="9.90625" hidden="1" customWidth="1" outlineLevel="1"/>
    <col min="17" max="17" width="8.7265625" collapsed="1"/>
    <col min="18" max="18" width="1.26953125" customWidth="1"/>
    <col min="19" max="30" width="9.90625" customWidth="1" outlineLevel="1"/>
    <col min="32" max="32" width="1.26953125" customWidth="1"/>
    <col min="33" max="44" width="9.90625" hidden="1" customWidth="1" outlineLevel="1"/>
    <col min="45" max="45" width="8.7265625" collapsed="1"/>
  </cols>
  <sheetData>
    <row r="1" spans="2:45" s="1" customFormat="1" ht="14.5" customHeight="1" x14ac:dyDescent="0.35">
      <c r="B1" s="103" t="s">
        <v>3</v>
      </c>
      <c r="C1" s="103"/>
      <c r="D1" s="103"/>
      <c r="E1" s="103"/>
    </row>
    <row r="2" spans="2:45" s="1" customFormat="1" ht="14.5" customHeight="1" x14ac:dyDescent="0.35">
      <c r="B2" s="103"/>
      <c r="C2" s="103"/>
      <c r="D2" s="103"/>
      <c r="E2" s="103"/>
    </row>
    <row r="3" spans="2:45" s="1" customFormat="1" ht="14.5" customHeight="1" x14ac:dyDescent="0.35">
      <c r="B3" s="103"/>
      <c r="C3" s="103"/>
      <c r="D3" s="103"/>
      <c r="E3" s="103"/>
    </row>
    <row r="5" spans="2:45" ht="21" customHeight="1" x14ac:dyDescent="0.35">
      <c r="E5" s="110">
        <f>starting_year</f>
        <v>2025</v>
      </c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S5" s="110">
        <f>E5+1</f>
        <v>2026</v>
      </c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G5" s="112">
        <f>S5+1</f>
        <v>2027</v>
      </c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</row>
    <row r="6" spans="2:45" x14ac:dyDescent="0.35">
      <c r="E6" s="24" t="str">
        <f ca="1">IF(E7=0,"sty ✓", "sty")</f>
        <v>sty ✓</v>
      </c>
      <c r="F6" s="24" t="str">
        <f ca="1">IF(F7=0,"lut ✓", "lut")</f>
        <v>lut</v>
      </c>
      <c r="G6" s="24" t="str">
        <f ca="1">IF(G7=0,"mar ✓", "mar")</f>
        <v>mar</v>
      </c>
      <c r="H6" s="24" t="str">
        <f ca="1">IF(H7=0,"kwi ✓", "kwi")</f>
        <v>kwi</v>
      </c>
      <c r="I6" s="24" t="str">
        <f ca="1">IF(I7=0,"maj ✓", "maj")</f>
        <v>maj</v>
      </c>
      <c r="J6" s="24" t="str">
        <f ca="1">IF(J7=0,"cze ✓", "cze")</f>
        <v>cze</v>
      </c>
      <c r="K6" s="24" t="str">
        <f ca="1">IF(K7=0,"lip ✓", "lip")</f>
        <v>lip</v>
      </c>
      <c r="L6" s="24" t="str">
        <f ca="1">IF(L7=0,"sie ✓", "sie")</f>
        <v>sie</v>
      </c>
      <c r="M6" s="24" t="str">
        <f ca="1">IF(M7=0,"wrz ✓", "wrz")</f>
        <v>wrz</v>
      </c>
      <c r="N6" s="24" t="str">
        <f ca="1">IF(N7=0,"paż ✓", "paż")</f>
        <v>paż</v>
      </c>
      <c r="O6" s="24" t="str">
        <f ca="1">IF(O7=0,"lis ✓", "lis")</f>
        <v>lis</v>
      </c>
      <c r="P6" s="24" t="str">
        <f ca="1">IF(P7=0,"gru ✓", "gru")</f>
        <v>gru</v>
      </c>
      <c r="Q6" s="24" t="str">
        <f ca="1">IF(Q7=0,"Total ✓", "Total")</f>
        <v>Total</v>
      </c>
      <c r="S6" s="24" t="str">
        <f ca="1">IF(S7=0,"sty ✓", "sty")</f>
        <v>sty ✓</v>
      </c>
      <c r="T6" s="24" t="str">
        <f ca="1">IF(T7=0,"lut ✓", "lut")</f>
        <v>lut</v>
      </c>
      <c r="U6" s="24" t="str">
        <f ca="1">IF(U7=0,"mar ✓", "mar")</f>
        <v>mar</v>
      </c>
      <c r="V6" s="24" t="str">
        <f ca="1">IF(V7=0,"kwi ✓", "kwi")</f>
        <v>kwi</v>
      </c>
      <c r="W6" s="24" t="str">
        <f ca="1">IF(W7=0,"maj ✓", "maj")</f>
        <v>maj</v>
      </c>
      <c r="X6" s="24" t="str">
        <f ca="1">IF(X7=0,"cze ✓", "cze")</f>
        <v>cze</v>
      </c>
      <c r="Y6" s="24" t="str">
        <f ca="1">IF(Y7=0,"lip ✓", "lip")</f>
        <v>lip</v>
      </c>
      <c r="Z6" s="24" t="str">
        <f ca="1">IF(Z7=0,"sie ✓", "sie")</f>
        <v>sie</v>
      </c>
      <c r="AA6" s="24" t="str">
        <f ca="1">IF(AA7=0,"wrz ✓", "wrz")</f>
        <v>wrz</v>
      </c>
      <c r="AB6" s="24" t="str">
        <f ca="1">IF(AB7=0,"paż ✓", "paż")</f>
        <v>paż</v>
      </c>
      <c r="AC6" s="24" t="str">
        <f ca="1">IF(AC7=0,"lis ✓", "lis")</f>
        <v>lis</v>
      </c>
      <c r="AD6" s="24" t="str">
        <f ca="1">IF(AD7=0,"gru ✓", "gru")</f>
        <v>gru</v>
      </c>
      <c r="AE6" s="24" t="str">
        <f ca="1">IF(AE7=0,"Total ✓", "Total")</f>
        <v>Total</v>
      </c>
      <c r="AG6" s="24" t="str">
        <f ca="1">IF(AG7=0,"sty ✓", "sty")</f>
        <v>sty ✓</v>
      </c>
      <c r="AH6" s="24" t="str">
        <f ca="1">IF(AH7=0,"lut ✓", "lut")</f>
        <v>lut ✓</v>
      </c>
      <c r="AI6" s="24" t="str">
        <f ca="1">IF(AI7=0,"mar ✓", "mar")</f>
        <v>mar ✓</v>
      </c>
      <c r="AJ6" s="24" t="str">
        <f ca="1">IF(AJ7=0,"kwi ✓", "kwi")</f>
        <v>kwi ✓</v>
      </c>
      <c r="AK6" s="24" t="str">
        <f ca="1">IF(AK7=0,"maj ✓", "maj")</f>
        <v>maj ✓</v>
      </c>
      <c r="AL6" s="24" t="str">
        <f ca="1">IF(AL7=0,"cze ✓", "cze")</f>
        <v>cze ✓</v>
      </c>
      <c r="AM6" s="24" t="str">
        <f ca="1">IF(AM7=0,"lip ✓", "lip")</f>
        <v>lip ✓</v>
      </c>
      <c r="AN6" s="24" t="str">
        <f ca="1">IF(AN7=0,"sie ✓", "sie")</f>
        <v>sie ✓</v>
      </c>
      <c r="AO6" s="24" t="str">
        <f ca="1">IF(AO7=0,"wrz ✓", "wrz")</f>
        <v>wrz ✓</v>
      </c>
      <c r="AP6" s="24" t="str">
        <f ca="1">IF(AP7=0,"paż ✓", "paż")</f>
        <v>paż ✓</v>
      </c>
      <c r="AQ6" s="24" t="str">
        <f ca="1">IF(AQ7=0,"lis ✓", "lis")</f>
        <v>lis ✓</v>
      </c>
      <c r="AR6" s="24" t="str">
        <f ca="1">IF(AR7=0,"gru ✓", "gru")</f>
        <v>gru ✓</v>
      </c>
      <c r="AS6" s="24" t="str">
        <f ca="1">IF(AS7=0,"Total ✓", "Total")</f>
        <v>Total ✓</v>
      </c>
    </row>
    <row r="7" spans="2:45" x14ac:dyDescent="0.35">
      <c r="C7" s="22" t="s">
        <v>20</v>
      </c>
      <c r="E7" s="23">
        <f t="shared" ref="E7:Q7" ca="1" si="0">E20-(E30+E43)</f>
        <v>0</v>
      </c>
      <c r="F7" s="23">
        <f t="shared" ca="1" si="0"/>
        <v>600</v>
      </c>
      <c r="G7" s="23">
        <f t="shared" ca="1" si="0"/>
        <v>350</v>
      </c>
      <c r="H7" s="23">
        <f t="shared" ca="1" si="0"/>
        <v>650</v>
      </c>
      <c r="I7" s="23">
        <f t="shared" ca="1" si="0"/>
        <v>650</v>
      </c>
      <c r="J7" s="23">
        <f t="shared" ca="1" si="0"/>
        <v>2350</v>
      </c>
      <c r="K7" s="23">
        <f t="shared" ca="1" si="0"/>
        <v>1750</v>
      </c>
      <c r="L7" s="23">
        <f t="shared" ca="1" si="0"/>
        <v>1100</v>
      </c>
      <c r="M7" s="23">
        <f t="shared" ca="1" si="0"/>
        <v>2500</v>
      </c>
      <c r="N7" s="23">
        <f t="shared" ca="1" si="0"/>
        <v>450</v>
      </c>
      <c r="O7" s="23">
        <f t="shared" ca="1" si="0"/>
        <v>950</v>
      </c>
      <c r="P7" s="23">
        <f t="shared" ca="1" si="0"/>
        <v>400</v>
      </c>
      <c r="Q7" s="23">
        <f t="shared" ca="1" si="0"/>
        <v>11750</v>
      </c>
      <c r="S7" s="23">
        <f t="shared" ref="S7:AE7" ca="1" si="1">S20-(S30+S43)</f>
        <v>0</v>
      </c>
      <c r="T7" s="23">
        <f t="shared" ca="1" si="1"/>
        <v>600</v>
      </c>
      <c r="U7" s="23">
        <f t="shared" ca="1" si="1"/>
        <v>350</v>
      </c>
      <c r="V7" s="23">
        <f t="shared" ca="1" si="1"/>
        <v>650</v>
      </c>
      <c r="W7" s="23">
        <f t="shared" ca="1" si="1"/>
        <v>650</v>
      </c>
      <c r="X7" s="23">
        <f t="shared" ca="1" si="1"/>
        <v>2350</v>
      </c>
      <c r="Y7" s="23">
        <f t="shared" ca="1" si="1"/>
        <v>1750</v>
      </c>
      <c r="Z7" s="23">
        <f t="shared" ca="1" si="1"/>
        <v>1100</v>
      </c>
      <c r="AA7" s="23">
        <f t="shared" ca="1" si="1"/>
        <v>2500</v>
      </c>
      <c r="AB7" s="23">
        <f t="shared" ca="1" si="1"/>
        <v>450</v>
      </c>
      <c r="AC7" s="23">
        <f t="shared" ca="1" si="1"/>
        <v>950</v>
      </c>
      <c r="AD7" s="23">
        <f t="shared" ca="1" si="1"/>
        <v>400</v>
      </c>
      <c r="AE7" s="23">
        <f t="shared" ca="1" si="1"/>
        <v>11750</v>
      </c>
      <c r="AG7" s="23">
        <f t="shared" ref="AG7:AS7" ca="1" si="2">AG20-(AG30+AG43)</f>
        <v>0</v>
      </c>
      <c r="AH7" s="23">
        <f t="shared" ca="1" si="2"/>
        <v>0</v>
      </c>
      <c r="AI7" s="23">
        <f t="shared" ca="1" si="2"/>
        <v>0</v>
      </c>
      <c r="AJ7" s="23">
        <f t="shared" ca="1" si="2"/>
        <v>0</v>
      </c>
      <c r="AK7" s="23">
        <f t="shared" ca="1" si="2"/>
        <v>0</v>
      </c>
      <c r="AL7" s="23">
        <f t="shared" ca="1" si="2"/>
        <v>0</v>
      </c>
      <c r="AM7" s="23">
        <f t="shared" ca="1" si="2"/>
        <v>0</v>
      </c>
      <c r="AN7" s="23">
        <f t="shared" ca="1" si="2"/>
        <v>0</v>
      </c>
      <c r="AO7" s="23">
        <f t="shared" ca="1" si="2"/>
        <v>0</v>
      </c>
      <c r="AP7" s="23">
        <f t="shared" ca="1" si="2"/>
        <v>0</v>
      </c>
      <c r="AQ7" s="23">
        <f t="shared" ca="1" si="2"/>
        <v>0</v>
      </c>
      <c r="AR7" s="23">
        <f t="shared" ca="1" si="2"/>
        <v>0</v>
      </c>
      <c r="AS7" s="23">
        <f t="shared" ca="1" si="2"/>
        <v>0</v>
      </c>
    </row>
    <row r="9" spans="2:45" x14ac:dyDescent="0.35">
      <c r="C9" s="10" t="s">
        <v>4</v>
      </c>
      <c r="E9" s="13">
        <f>DATE(E$5,1,1)</f>
        <v>45658</v>
      </c>
      <c r="F9" s="13">
        <f>DATE(E$5,2,1)</f>
        <v>45689</v>
      </c>
      <c r="G9" s="13">
        <f>DATE(E$5,3,1)</f>
        <v>45717</v>
      </c>
      <c r="H9" s="13">
        <f>DATE(E$5,4,1)</f>
        <v>45748</v>
      </c>
      <c r="I9" s="13">
        <f>DATE(E$5,5,1)</f>
        <v>45778</v>
      </c>
      <c r="J9" s="13">
        <f>DATE(E$5,6,1)</f>
        <v>45809</v>
      </c>
      <c r="K9" s="13">
        <f>DATE(E$5,7,1)</f>
        <v>45839</v>
      </c>
      <c r="L9" s="13">
        <f>DATE(E$5,8,1)</f>
        <v>45870</v>
      </c>
      <c r="M9" s="13">
        <f>DATE(E$5,9,1)</f>
        <v>45901</v>
      </c>
      <c r="N9" s="13">
        <f>DATE(E$5,10,1)</f>
        <v>45931</v>
      </c>
      <c r="O9" s="13">
        <f>DATE(E$5,11,1)</f>
        <v>45962</v>
      </c>
      <c r="P9" s="13">
        <f>DATE(E$5,12,1)</f>
        <v>45992</v>
      </c>
      <c r="Q9" s="12">
        <f>E5</f>
        <v>2025</v>
      </c>
      <c r="S9" s="13">
        <f>DATE(S$5,1,1)</f>
        <v>46023</v>
      </c>
      <c r="T9" s="13">
        <f>DATE(S$5,2,1)</f>
        <v>46054</v>
      </c>
      <c r="U9" s="13">
        <f>DATE(S$5,3,1)</f>
        <v>46082</v>
      </c>
      <c r="V9" s="13">
        <f>DATE(S$5,4,1)</f>
        <v>46113</v>
      </c>
      <c r="W9" s="13">
        <f>DATE(S$5,5,1)</f>
        <v>46143</v>
      </c>
      <c r="X9" s="13">
        <f>DATE(S$5,6,1)</f>
        <v>46174</v>
      </c>
      <c r="Y9" s="13">
        <f>DATE(S$5,7,1)</f>
        <v>46204</v>
      </c>
      <c r="Z9" s="13">
        <f>DATE(S$5,8,1)</f>
        <v>46235</v>
      </c>
      <c r="AA9" s="13">
        <f>DATE(S$5,9,1)</f>
        <v>46266</v>
      </c>
      <c r="AB9" s="13">
        <f>DATE(S$5,10,1)</f>
        <v>46296</v>
      </c>
      <c r="AC9" s="13">
        <f>DATE(S$5,11,1)</f>
        <v>46327</v>
      </c>
      <c r="AD9" s="13">
        <f>DATE(S$5,12,1)</f>
        <v>46357</v>
      </c>
      <c r="AE9" s="12">
        <f>S5</f>
        <v>2026</v>
      </c>
      <c r="AG9" s="13">
        <f>DATE(AG$5,1,1)</f>
        <v>46388</v>
      </c>
      <c r="AH9" s="13">
        <f>DATE(AG$5,2,1)</f>
        <v>46419</v>
      </c>
      <c r="AI9" s="13">
        <f>DATE(AG$5,3,1)</f>
        <v>46447</v>
      </c>
      <c r="AJ9" s="13">
        <f>DATE(AG$5,4,1)</f>
        <v>46478</v>
      </c>
      <c r="AK9" s="13">
        <f>DATE(AG$5,5,1)</f>
        <v>46508</v>
      </c>
      <c r="AL9" s="13">
        <f>DATE(AG$5,6,1)</f>
        <v>46539</v>
      </c>
      <c r="AM9" s="13">
        <f>DATE(AG$5,7,1)</f>
        <v>46569</v>
      </c>
      <c r="AN9" s="13">
        <f>DATE(AG$5,8,1)</f>
        <v>46600</v>
      </c>
      <c r="AO9" s="13">
        <f>DATE(AG$5,9,1)</f>
        <v>46631</v>
      </c>
      <c r="AP9" s="13">
        <f>DATE(AG$5,10,1)</f>
        <v>46661</v>
      </c>
      <c r="AQ9" s="13">
        <f>DATE(AG$5,11,1)</f>
        <v>46692</v>
      </c>
      <c r="AR9" s="13">
        <f>DATE(AG$5,12,1)</f>
        <v>46722</v>
      </c>
      <c r="AS9" s="12">
        <f>AG5</f>
        <v>2027</v>
      </c>
    </row>
    <row r="10" spans="2:45" x14ac:dyDescent="0.35">
      <c r="C10" s="14" t="s">
        <v>7</v>
      </c>
      <c r="E10" s="15">
        <v>8500</v>
      </c>
      <c r="F10" s="15">
        <v>8500</v>
      </c>
      <c r="G10" s="15">
        <v>8800</v>
      </c>
      <c r="H10" s="15">
        <v>8800</v>
      </c>
      <c r="I10" s="15">
        <v>8800</v>
      </c>
      <c r="J10" s="15">
        <v>8800</v>
      </c>
      <c r="K10" s="15">
        <v>8800</v>
      </c>
      <c r="L10" s="15">
        <v>9200</v>
      </c>
      <c r="M10" s="15">
        <v>9200</v>
      </c>
      <c r="N10" s="15">
        <v>9200</v>
      </c>
      <c r="O10" s="15">
        <v>8500</v>
      </c>
      <c r="P10" s="15">
        <v>9000</v>
      </c>
      <c r="Q10" s="17">
        <f>SUM(E10:P10)</f>
        <v>106100</v>
      </c>
      <c r="S10" s="15">
        <v>8500</v>
      </c>
      <c r="T10" s="15">
        <v>8500</v>
      </c>
      <c r="U10" s="15">
        <v>8800</v>
      </c>
      <c r="V10" s="15">
        <v>8800</v>
      </c>
      <c r="W10" s="15">
        <v>8800</v>
      </c>
      <c r="X10" s="15">
        <v>8800</v>
      </c>
      <c r="Y10" s="15">
        <v>8800</v>
      </c>
      <c r="Z10" s="15">
        <v>9200</v>
      </c>
      <c r="AA10" s="15">
        <v>9200</v>
      </c>
      <c r="AB10" s="15">
        <v>9200</v>
      </c>
      <c r="AC10" s="15">
        <v>8500</v>
      </c>
      <c r="AD10" s="15">
        <v>9000</v>
      </c>
      <c r="AE10" s="17">
        <f>SUM(S10:AD10)</f>
        <v>106100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7">
        <f>SUM(AG10:AR10)</f>
        <v>0</v>
      </c>
    </row>
    <row r="11" spans="2:45" x14ac:dyDescent="0.35">
      <c r="C11" s="14" t="s">
        <v>8</v>
      </c>
      <c r="E11" s="15">
        <v>1200</v>
      </c>
      <c r="F11" s="15">
        <v>1800</v>
      </c>
      <c r="G11" s="15">
        <v>2100</v>
      </c>
      <c r="H11" s="15">
        <v>1500</v>
      </c>
      <c r="I11" s="15">
        <v>2400</v>
      </c>
      <c r="J11" s="15">
        <v>3100</v>
      </c>
      <c r="K11" s="15">
        <v>2800</v>
      </c>
      <c r="L11" s="15">
        <v>2200</v>
      </c>
      <c r="M11" s="15">
        <v>2900</v>
      </c>
      <c r="N11" s="15">
        <v>1800</v>
      </c>
      <c r="O11" s="15">
        <v>2550</v>
      </c>
      <c r="P11" s="15">
        <v>2400</v>
      </c>
      <c r="Q11" s="17">
        <f t="shared" ref="Q11:Q19" si="3">SUM(E11:P11)</f>
        <v>26750</v>
      </c>
      <c r="S11" s="15">
        <v>1200</v>
      </c>
      <c r="T11" s="15">
        <v>1800</v>
      </c>
      <c r="U11" s="15">
        <v>2100</v>
      </c>
      <c r="V11" s="15">
        <v>1500</v>
      </c>
      <c r="W11" s="15">
        <v>2400</v>
      </c>
      <c r="X11" s="15">
        <v>3100</v>
      </c>
      <c r="Y11" s="15">
        <v>2800</v>
      </c>
      <c r="Z11" s="15">
        <v>2200</v>
      </c>
      <c r="AA11" s="15">
        <v>2900</v>
      </c>
      <c r="AB11" s="15">
        <v>1800</v>
      </c>
      <c r="AC11" s="15">
        <v>2550</v>
      </c>
      <c r="AD11" s="15">
        <v>2400</v>
      </c>
      <c r="AE11" s="17">
        <f t="shared" ref="AE11:AE19" si="4">SUM(S11:AD11)</f>
        <v>26750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7">
        <f t="shared" ref="AS11:AS19" si="5">SUM(AG11:AR11)</f>
        <v>0</v>
      </c>
    </row>
    <row r="12" spans="2:45" x14ac:dyDescent="0.35">
      <c r="C12" s="14" t="s">
        <v>9</v>
      </c>
      <c r="E12" s="15">
        <v>50</v>
      </c>
      <c r="F12" s="15">
        <v>0</v>
      </c>
      <c r="G12" s="15">
        <v>450</v>
      </c>
      <c r="H12" s="15">
        <v>0</v>
      </c>
      <c r="I12" s="15">
        <v>0</v>
      </c>
      <c r="J12" s="15">
        <v>500</v>
      </c>
      <c r="K12" s="15">
        <v>0</v>
      </c>
      <c r="L12" s="15">
        <v>0</v>
      </c>
      <c r="M12" s="15">
        <v>350</v>
      </c>
      <c r="N12" s="15">
        <v>1000</v>
      </c>
      <c r="O12" s="15">
        <v>0</v>
      </c>
      <c r="P12" s="15">
        <v>1500</v>
      </c>
      <c r="Q12" s="17">
        <f t="shared" si="3"/>
        <v>3850</v>
      </c>
      <c r="S12" s="15">
        <v>50</v>
      </c>
      <c r="T12" s="15">
        <v>0</v>
      </c>
      <c r="U12" s="15">
        <v>450</v>
      </c>
      <c r="V12" s="15">
        <v>0</v>
      </c>
      <c r="W12" s="15">
        <v>0</v>
      </c>
      <c r="X12" s="15">
        <v>500</v>
      </c>
      <c r="Y12" s="15">
        <v>0</v>
      </c>
      <c r="Z12" s="15">
        <v>0</v>
      </c>
      <c r="AA12" s="15">
        <v>350</v>
      </c>
      <c r="AB12" s="15">
        <v>1000</v>
      </c>
      <c r="AC12" s="15">
        <v>0</v>
      </c>
      <c r="AD12" s="15">
        <v>1500</v>
      </c>
      <c r="AE12" s="17">
        <f t="shared" si="4"/>
        <v>3850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7">
        <f t="shared" si="5"/>
        <v>0</v>
      </c>
    </row>
    <row r="13" spans="2:45" x14ac:dyDescent="0.35">
      <c r="C13" s="14" t="s">
        <v>10</v>
      </c>
      <c r="E13" s="15">
        <v>150</v>
      </c>
      <c r="F13" s="15">
        <v>300</v>
      </c>
      <c r="G13" s="15">
        <v>1000</v>
      </c>
      <c r="H13" s="15">
        <v>400</v>
      </c>
      <c r="I13" s="15">
        <v>200</v>
      </c>
      <c r="J13" s="15">
        <v>150</v>
      </c>
      <c r="K13" s="15">
        <v>600</v>
      </c>
      <c r="L13" s="15">
        <v>100</v>
      </c>
      <c r="M13" s="15">
        <v>250</v>
      </c>
      <c r="N13" s="15">
        <v>350</v>
      </c>
      <c r="O13" s="15">
        <v>0</v>
      </c>
      <c r="P13" s="15">
        <v>500</v>
      </c>
      <c r="Q13" s="17">
        <f t="shared" si="3"/>
        <v>4000</v>
      </c>
      <c r="S13" s="15">
        <v>150</v>
      </c>
      <c r="T13" s="15">
        <v>300</v>
      </c>
      <c r="U13" s="15">
        <v>1000</v>
      </c>
      <c r="V13" s="15">
        <v>400</v>
      </c>
      <c r="W13" s="15">
        <v>200</v>
      </c>
      <c r="X13" s="15">
        <v>150</v>
      </c>
      <c r="Y13" s="15">
        <v>600</v>
      </c>
      <c r="Z13" s="15">
        <v>100</v>
      </c>
      <c r="AA13" s="15">
        <v>250</v>
      </c>
      <c r="AB13" s="15">
        <v>350</v>
      </c>
      <c r="AC13" s="15">
        <v>0</v>
      </c>
      <c r="AD13" s="15">
        <v>500</v>
      </c>
      <c r="AE13" s="17">
        <f t="shared" si="4"/>
        <v>4000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7">
        <f t="shared" si="5"/>
        <v>0</v>
      </c>
    </row>
    <row r="14" spans="2:45" ht="14.5" hidden="1" customHeight="1" x14ac:dyDescent="0.35">
      <c r="C14" s="14" t="s">
        <v>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7">
        <f t="shared" si="3"/>
        <v>0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7">
        <f t="shared" si="4"/>
        <v>0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7">
        <f t="shared" si="5"/>
        <v>0</v>
      </c>
    </row>
    <row r="15" spans="2:45" ht="14.5" hidden="1" customHeight="1" x14ac:dyDescent="0.35">
      <c r="C15" s="14" t="s">
        <v>5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7">
        <f t="shared" si="3"/>
        <v>0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7">
        <f t="shared" si="4"/>
        <v>0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7">
        <f t="shared" si="5"/>
        <v>0</v>
      </c>
    </row>
    <row r="16" spans="2:45" ht="14.5" hidden="1" customHeight="1" x14ac:dyDescent="0.35">
      <c r="C16" s="14" t="s">
        <v>5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7">
        <f t="shared" si="3"/>
        <v>0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7">
        <f t="shared" si="4"/>
        <v>0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7">
        <f t="shared" si="5"/>
        <v>0</v>
      </c>
    </row>
    <row r="17" spans="3:45" ht="14.5" hidden="1" customHeight="1" x14ac:dyDescent="0.35">
      <c r="C17" s="14" t="s">
        <v>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7">
        <f t="shared" si="3"/>
        <v>0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7">
        <f t="shared" si="4"/>
        <v>0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7">
        <f t="shared" si="5"/>
        <v>0</v>
      </c>
    </row>
    <row r="18" spans="3:45" ht="14.5" hidden="1" customHeight="1" x14ac:dyDescent="0.35">
      <c r="C18" s="14" t="s">
        <v>5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7">
        <f t="shared" si="3"/>
        <v>0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7">
        <f t="shared" si="4"/>
        <v>0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7">
        <f t="shared" si="5"/>
        <v>0</v>
      </c>
    </row>
    <row r="19" spans="3:45" ht="14.5" hidden="1" customHeight="1" x14ac:dyDescent="0.35">
      <c r="C19" s="14" t="s">
        <v>5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7">
        <f t="shared" si="3"/>
        <v>0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7">
        <f t="shared" si="4"/>
        <v>0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7">
        <f t="shared" si="5"/>
        <v>0</v>
      </c>
    </row>
    <row r="20" spans="3:45" x14ac:dyDescent="0.35">
      <c r="C20" s="11" t="s">
        <v>6</v>
      </c>
      <c r="E20" s="16" cm="1">
        <f t="array" aca="1" ref="E20" ca="1">SUM(INDIRECT(ADDRESS(income_min_row,COLUMN()) &amp; ":" &amp; ADDRESS(income_max_row,COLUMN())))</f>
        <v>9900</v>
      </c>
      <c r="F20" s="16" cm="1">
        <f t="array" aca="1" ref="F20" ca="1">SUM(INDIRECT(ADDRESS(income_min_row,COLUMN()) &amp; ":" &amp; ADDRESS(income_max_row,COLUMN())))</f>
        <v>10600</v>
      </c>
      <c r="G20" s="16" cm="1">
        <f t="array" aca="1" ref="G20" ca="1">SUM(INDIRECT(ADDRESS(income_min_row,COLUMN()) &amp; ":" &amp; ADDRESS(income_max_row,COLUMN())))</f>
        <v>12350</v>
      </c>
      <c r="H20" s="16" cm="1">
        <f t="array" aca="1" ref="H20" ca="1">SUM(INDIRECT(ADDRESS(income_min_row,COLUMN()) &amp; ":" &amp; ADDRESS(income_max_row,COLUMN())))</f>
        <v>10700</v>
      </c>
      <c r="I20" s="16" cm="1">
        <f t="array" aca="1" ref="I20" ca="1">SUM(INDIRECT(ADDRESS(income_min_row,COLUMN()) &amp; ":" &amp; ADDRESS(income_max_row,COLUMN())))</f>
        <v>11400</v>
      </c>
      <c r="J20" s="16" cm="1">
        <f t="array" aca="1" ref="J20" ca="1">SUM(INDIRECT(ADDRESS(income_min_row,COLUMN()) &amp; ":" &amp; ADDRESS(income_max_row,COLUMN())))</f>
        <v>12550</v>
      </c>
      <c r="K20" s="16" cm="1">
        <f t="array" aca="1" ref="K20" ca="1">SUM(INDIRECT(ADDRESS(income_min_row,COLUMN()) &amp; ":" &amp; ADDRESS(income_max_row,COLUMN())))</f>
        <v>12200</v>
      </c>
      <c r="L20" s="16" cm="1">
        <f t="array" aca="1" ref="L20" ca="1">SUM(INDIRECT(ADDRESS(income_min_row,COLUMN()) &amp; ":" &amp; ADDRESS(income_max_row,COLUMN())))</f>
        <v>11500</v>
      </c>
      <c r="M20" s="16" cm="1">
        <f t="array" aca="1" ref="M20" ca="1">SUM(INDIRECT(ADDRESS(income_min_row,COLUMN()) &amp; ":" &amp; ADDRESS(income_max_row,COLUMN())))</f>
        <v>12700</v>
      </c>
      <c r="N20" s="16" cm="1">
        <f t="array" aca="1" ref="N20" ca="1">SUM(INDIRECT(ADDRESS(income_min_row,COLUMN()) &amp; ":" &amp; ADDRESS(income_max_row,COLUMN())))</f>
        <v>12350</v>
      </c>
      <c r="O20" s="16" cm="1">
        <f t="array" aca="1" ref="O20" ca="1">SUM(INDIRECT(ADDRESS(income_min_row,COLUMN()) &amp; ":" &amp; ADDRESS(income_max_row,COLUMN())))</f>
        <v>11050</v>
      </c>
      <c r="P20" s="16" cm="1">
        <f t="array" aca="1" ref="P20" ca="1">SUM(INDIRECT(ADDRESS(income_min_row,COLUMN()) &amp; ":" &amp; ADDRESS(income_max_row,COLUMN())))</f>
        <v>13400</v>
      </c>
      <c r="Q20" s="16" cm="1">
        <f t="array" aca="1" ref="Q20" ca="1">SUM(INDIRECT(ADDRESS(income_min_row,COLUMN()) &amp; ":" &amp; ADDRESS(income_max_row,COLUMN())))</f>
        <v>140700</v>
      </c>
      <c r="S20" s="16" cm="1">
        <f t="array" aca="1" ref="S20" ca="1">SUM(INDIRECT(ADDRESS(income_min_row,COLUMN()) &amp; ":" &amp; ADDRESS(income_max_row,COLUMN())))</f>
        <v>9900</v>
      </c>
      <c r="T20" s="16" cm="1">
        <f t="array" aca="1" ref="T20" ca="1">SUM(INDIRECT(ADDRESS(income_min_row,COLUMN()) &amp; ":" &amp; ADDRESS(income_max_row,COLUMN())))</f>
        <v>10600</v>
      </c>
      <c r="U20" s="16" cm="1">
        <f t="array" aca="1" ref="U20" ca="1">SUM(INDIRECT(ADDRESS(income_min_row,COLUMN()) &amp; ":" &amp; ADDRESS(income_max_row,COLUMN())))</f>
        <v>12350</v>
      </c>
      <c r="V20" s="16" cm="1">
        <f t="array" aca="1" ref="V20" ca="1">SUM(INDIRECT(ADDRESS(income_min_row,COLUMN()) &amp; ":" &amp; ADDRESS(income_max_row,COLUMN())))</f>
        <v>10700</v>
      </c>
      <c r="W20" s="16" cm="1">
        <f t="array" aca="1" ref="W20" ca="1">SUM(INDIRECT(ADDRESS(income_min_row,COLUMN()) &amp; ":" &amp; ADDRESS(income_max_row,COLUMN())))</f>
        <v>11400</v>
      </c>
      <c r="X20" s="16" cm="1">
        <f t="array" aca="1" ref="X20" ca="1">SUM(INDIRECT(ADDRESS(income_min_row,COLUMN()) &amp; ":" &amp; ADDRESS(income_max_row,COLUMN())))</f>
        <v>12550</v>
      </c>
      <c r="Y20" s="16" cm="1">
        <f t="array" aca="1" ref="Y20" ca="1">SUM(INDIRECT(ADDRESS(income_min_row,COLUMN()) &amp; ":" &amp; ADDRESS(income_max_row,COLUMN())))</f>
        <v>12200</v>
      </c>
      <c r="Z20" s="16" cm="1">
        <f t="array" aca="1" ref="Z20" ca="1">SUM(INDIRECT(ADDRESS(income_min_row,COLUMN()) &amp; ":" &amp; ADDRESS(income_max_row,COLUMN())))</f>
        <v>11500</v>
      </c>
      <c r="AA20" s="16" cm="1">
        <f t="array" aca="1" ref="AA20" ca="1">SUM(INDIRECT(ADDRESS(income_min_row,COLUMN()) &amp; ":" &amp; ADDRESS(income_max_row,COLUMN())))</f>
        <v>12700</v>
      </c>
      <c r="AB20" s="16" cm="1">
        <f t="array" aca="1" ref="AB20" ca="1">SUM(INDIRECT(ADDRESS(income_min_row,COLUMN()) &amp; ":" &amp; ADDRESS(income_max_row,COLUMN())))</f>
        <v>12350</v>
      </c>
      <c r="AC20" s="16" cm="1">
        <f t="array" aca="1" ref="AC20" ca="1">SUM(INDIRECT(ADDRESS(income_min_row,COLUMN()) &amp; ":" &amp; ADDRESS(income_max_row,COLUMN())))</f>
        <v>11050</v>
      </c>
      <c r="AD20" s="16" cm="1">
        <f t="array" aca="1" ref="AD20" ca="1">SUM(INDIRECT(ADDRESS(income_min_row,COLUMN()) &amp; ":" &amp; ADDRESS(income_max_row,COLUMN())))</f>
        <v>13400</v>
      </c>
      <c r="AE20" s="16" cm="1">
        <f t="array" aca="1" ref="AE20" ca="1">SUM(INDIRECT(ADDRESS(income_min_row,COLUMN()) &amp; ":" &amp; ADDRESS(income_max_row,COLUMN())))</f>
        <v>140700</v>
      </c>
      <c r="AG20" s="16" cm="1">
        <f t="array" aca="1" ref="AG20" ca="1">SUM(INDIRECT(ADDRESS(income_min_row,COLUMN()) &amp; ":" &amp; ADDRESS(income_max_row,COLUMN())))</f>
        <v>0</v>
      </c>
      <c r="AH20" s="16" cm="1">
        <f t="array" aca="1" ref="AH20" ca="1">SUM(INDIRECT(ADDRESS(income_min_row,COLUMN()) &amp; ":" &amp; ADDRESS(income_max_row,COLUMN())))</f>
        <v>0</v>
      </c>
      <c r="AI20" s="16" cm="1">
        <f t="array" aca="1" ref="AI20" ca="1">SUM(INDIRECT(ADDRESS(income_min_row,COLUMN()) &amp; ":" &amp; ADDRESS(income_max_row,COLUMN())))</f>
        <v>0</v>
      </c>
      <c r="AJ20" s="16" cm="1">
        <f t="array" aca="1" ref="AJ20" ca="1">SUM(INDIRECT(ADDRESS(income_min_row,COLUMN()) &amp; ":" &amp; ADDRESS(income_max_row,COLUMN())))</f>
        <v>0</v>
      </c>
      <c r="AK20" s="16" cm="1">
        <f t="array" aca="1" ref="AK20" ca="1">SUM(INDIRECT(ADDRESS(income_min_row,COLUMN()) &amp; ":" &amp; ADDRESS(income_max_row,COLUMN())))</f>
        <v>0</v>
      </c>
      <c r="AL20" s="16" cm="1">
        <f t="array" aca="1" ref="AL20" ca="1">SUM(INDIRECT(ADDRESS(income_min_row,COLUMN()) &amp; ":" &amp; ADDRESS(income_max_row,COLUMN())))</f>
        <v>0</v>
      </c>
      <c r="AM20" s="16" cm="1">
        <f t="array" aca="1" ref="AM20" ca="1">SUM(INDIRECT(ADDRESS(income_min_row,COLUMN()) &amp; ":" &amp; ADDRESS(income_max_row,COLUMN())))</f>
        <v>0</v>
      </c>
      <c r="AN20" s="16" cm="1">
        <f t="array" aca="1" ref="AN20" ca="1">SUM(INDIRECT(ADDRESS(income_min_row,COLUMN()) &amp; ":" &amp; ADDRESS(income_max_row,COLUMN())))</f>
        <v>0</v>
      </c>
      <c r="AO20" s="16" cm="1">
        <f t="array" aca="1" ref="AO20" ca="1">SUM(INDIRECT(ADDRESS(income_min_row,COLUMN()) &amp; ":" &amp; ADDRESS(income_max_row,COLUMN())))</f>
        <v>0</v>
      </c>
      <c r="AP20" s="16" cm="1">
        <f t="array" aca="1" ref="AP20" ca="1">SUM(INDIRECT(ADDRESS(income_min_row,COLUMN()) &amp; ":" &amp; ADDRESS(income_max_row,COLUMN())))</f>
        <v>0</v>
      </c>
      <c r="AQ20" s="16" cm="1">
        <f t="array" aca="1" ref="AQ20" ca="1">SUM(INDIRECT(ADDRESS(income_min_row,COLUMN()) &amp; ":" &amp; ADDRESS(income_max_row,COLUMN())))</f>
        <v>0</v>
      </c>
      <c r="AR20" s="16" cm="1">
        <f t="array" aca="1" ref="AR20" ca="1">SUM(INDIRECT(ADDRESS(income_min_row,COLUMN()) &amp; ":" &amp; ADDRESS(income_max_row,COLUMN())))</f>
        <v>0</v>
      </c>
      <c r="AS20" s="16" cm="1">
        <f t="array" aca="1" ref="AS20" ca="1">SUM(INDIRECT(ADDRESS(income_min_row,COLUMN()) &amp; ":" &amp; ADDRESS(income_max_row,COLUMN())))</f>
        <v>0</v>
      </c>
    </row>
    <row r="22" spans="3:45" x14ac:dyDescent="0.35">
      <c r="C22" s="10" t="s">
        <v>11</v>
      </c>
      <c r="E22" s="18">
        <f>DATE(E$5,1,1)</f>
        <v>45658</v>
      </c>
      <c r="F22" s="18">
        <f>DATE(E$5,2,1)</f>
        <v>45689</v>
      </c>
      <c r="G22" s="18">
        <f>DATE(E$5,3,1)</f>
        <v>45717</v>
      </c>
      <c r="H22" s="18">
        <f>DATE(E$5,4,1)</f>
        <v>45748</v>
      </c>
      <c r="I22" s="18">
        <f>DATE(E$5,5,1)</f>
        <v>45778</v>
      </c>
      <c r="J22" s="18">
        <f>DATE(E$5,6,1)</f>
        <v>45809</v>
      </c>
      <c r="K22" s="18">
        <f>DATE(E$5,7,1)</f>
        <v>45839</v>
      </c>
      <c r="L22" s="18">
        <f>DATE(E$5,8,1)</f>
        <v>45870</v>
      </c>
      <c r="M22" s="18">
        <f>DATE(E$5,9,1)</f>
        <v>45901</v>
      </c>
      <c r="N22" s="18">
        <f>DATE(E$5,10,1)</f>
        <v>45931</v>
      </c>
      <c r="O22" s="18">
        <f>DATE(E$5,11,1)</f>
        <v>45962</v>
      </c>
      <c r="P22" s="18">
        <f>DATE(E$5,12,1)</f>
        <v>45992</v>
      </c>
      <c r="Q22" s="19">
        <f>E5</f>
        <v>2025</v>
      </c>
      <c r="S22" s="18">
        <f>DATE(S$5,1,1)</f>
        <v>46023</v>
      </c>
      <c r="T22" s="18">
        <f>DATE(S$5,2,1)</f>
        <v>46054</v>
      </c>
      <c r="U22" s="18">
        <f>DATE(S$5,3,1)</f>
        <v>46082</v>
      </c>
      <c r="V22" s="18">
        <f>DATE(S$5,4,1)</f>
        <v>46113</v>
      </c>
      <c r="W22" s="18">
        <f>DATE(S$5,5,1)</f>
        <v>46143</v>
      </c>
      <c r="X22" s="18">
        <f>DATE(S$5,6,1)</f>
        <v>46174</v>
      </c>
      <c r="Y22" s="18">
        <f>DATE(S$5,7,1)</f>
        <v>46204</v>
      </c>
      <c r="Z22" s="18">
        <f>DATE(S$5,8,1)</f>
        <v>46235</v>
      </c>
      <c r="AA22" s="18">
        <f>DATE(S$5,9,1)</f>
        <v>46266</v>
      </c>
      <c r="AB22" s="18">
        <f>DATE(S$5,10,1)</f>
        <v>46296</v>
      </c>
      <c r="AC22" s="18">
        <f>DATE(S$5,11,1)</f>
        <v>46327</v>
      </c>
      <c r="AD22" s="18">
        <f>DATE(S$5,12,1)</f>
        <v>46357</v>
      </c>
      <c r="AE22" s="19">
        <f>S5</f>
        <v>2026</v>
      </c>
      <c r="AG22" s="18">
        <f>DATE(AG$5,1,1)</f>
        <v>46388</v>
      </c>
      <c r="AH22" s="18">
        <f>DATE(AG$5,2,1)</f>
        <v>46419</v>
      </c>
      <c r="AI22" s="18">
        <f>DATE(AG$5,3,1)</f>
        <v>46447</v>
      </c>
      <c r="AJ22" s="18">
        <f>DATE(AG$5,4,1)</f>
        <v>46478</v>
      </c>
      <c r="AK22" s="18">
        <f>DATE(AG$5,5,1)</f>
        <v>46508</v>
      </c>
      <c r="AL22" s="18">
        <f>DATE(AG$5,6,1)</f>
        <v>46539</v>
      </c>
      <c r="AM22" s="18">
        <f>DATE(AG$5,7,1)</f>
        <v>46569</v>
      </c>
      <c r="AN22" s="18">
        <f>DATE(AG$5,8,1)</f>
        <v>46600</v>
      </c>
      <c r="AO22" s="18">
        <f>DATE(AG$5,9,1)</f>
        <v>46631</v>
      </c>
      <c r="AP22" s="18">
        <f>DATE(AG$5,10,1)</f>
        <v>46661</v>
      </c>
      <c r="AQ22" s="18">
        <f>DATE(AG$5,11,1)</f>
        <v>46692</v>
      </c>
      <c r="AR22" s="18">
        <f>DATE(AG$5,12,1)</f>
        <v>46722</v>
      </c>
      <c r="AS22" s="19">
        <f>AG5</f>
        <v>2027</v>
      </c>
    </row>
    <row r="23" spans="3:45" x14ac:dyDescent="0.35">
      <c r="C23" s="14" t="s">
        <v>12</v>
      </c>
      <c r="E23" s="15">
        <v>4200</v>
      </c>
      <c r="F23" s="15">
        <v>4200</v>
      </c>
      <c r="G23" s="15">
        <v>4200</v>
      </c>
      <c r="H23" s="15">
        <v>4200</v>
      </c>
      <c r="I23" s="15">
        <v>4200</v>
      </c>
      <c r="J23" s="15">
        <v>4200</v>
      </c>
      <c r="K23" s="15">
        <v>4200</v>
      </c>
      <c r="L23" s="15">
        <v>4200</v>
      </c>
      <c r="M23" s="15">
        <v>4200</v>
      </c>
      <c r="N23" s="15">
        <v>4200</v>
      </c>
      <c r="O23" s="15">
        <v>4200</v>
      </c>
      <c r="P23" s="15">
        <v>4200</v>
      </c>
      <c r="Q23" s="17">
        <f>SUM(E23:P23)</f>
        <v>50400</v>
      </c>
      <c r="S23" s="15">
        <v>4200</v>
      </c>
      <c r="T23" s="15">
        <v>4200</v>
      </c>
      <c r="U23" s="15">
        <v>4200</v>
      </c>
      <c r="V23" s="15">
        <v>4200</v>
      </c>
      <c r="W23" s="15">
        <v>4200</v>
      </c>
      <c r="X23" s="15">
        <v>4200</v>
      </c>
      <c r="Y23" s="15">
        <v>4200</v>
      </c>
      <c r="Z23" s="15">
        <v>4200</v>
      </c>
      <c r="AA23" s="15">
        <v>4200</v>
      </c>
      <c r="AB23" s="15">
        <v>4200</v>
      </c>
      <c r="AC23" s="15">
        <v>4200</v>
      </c>
      <c r="AD23" s="15">
        <v>4200</v>
      </c>
      <c r="AE23" s="17">
        <f>SUM(S23:AD23)</f>
        <v>50400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7">
        <f>SUM(AG23:AR23)</f>
        <v>0</v>
      </c>
    </row>
    <row r="24" spans="3:45" x14ac:dyDescent="0.35">
      <c r="C24" s="14" t="s">
        <v>13</v>
      </c>
      <c r="E24" s="15">
        <v>1500</v>
      </c>
      <c r="F24" s="15">
        <v>1450</v>
      </c>
      <c r="G24" s="15">
        <v>1600</v>
      </c>
      <c r="H24" s="15">
        <v>1550</v>
      </c>
      <c r="I24" s="15">
        <v>1500</v>
      </c>
      <c r="J24" s="15">
        <v>1400</v>
      </c>
      <c r="K24" s="15">
        <v>1450</v>
      </c>
      <c r="L24" s="15">
        <v>1500</v>
      </c>
      <c r="M24" s="15">
        <v>1650</v>
      </c>
      <c r="N24" s="15">
        <v>1550</v>
      </c>
      <c r="O24" s="15">
        <v>1600</v>
      </c>
      <c r="P24" s="15">
        <v>1800</v>
      </c>
      <c r="Q24" s="17">
        <f t="shared" ref="Q24:Q29" si="6">SUM(E24:P24)</f>
        <v>18550</v>
      </c>
      <c r="S24" s="15">
        <v>1500</v>
      </c>
      <c r="T24" s="15">
        <v>1450</v>
      </c>
      <c r="U24" s="15">
        <v>1600</v>
      </c>
      <c r="V24" s="15">
        <v>1550</v>
      </c>
      <c r="W24" s="15">
        <v>1500</v>
      </c>
      <c r="X24" s="15">
        <v>1400</v>
      </c>
      <c r="Y24" s="15">
        <v>1450</v>
      </c>
      <c r="Z24" s="15">
        <v>1500</v>
      </c>
      <c r="AA24" s="15">
        <v>1650</v>
      </c>
      <c r="AB24" s="15">
        <v>1550</v>
      </c>
      <c r="AC24" s="15">
        <v>1600</v>
      </c>
      <c r="AD24" s="15">
        <v>1800</v>
      </c>
      <c r="AE24" s="17">
        <f t="shared" ref="AE24:AE29" si="7">SUM(S24:AD24)</f>
        <v>18550</v>
      </c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7">
        <f t="shared" ref="AS24:AS29" si="8">SUM(AG24:AR24)</f>
        <v>0</v>
      </c>
    </row>
    <row r="25" spans="3:45" x14ac:dyDescent="0.35">
      <c r="C25" s="14" t="s">
        <v>10</v>
      </c>
      <c r="E25" s="15">
        <v>400</v>
      </c>
      <c r="F25" s="15">
        <v>350</v>
      </c>
      <c r="G25" s="15">
        <v>600</v>
      </c>
      <c r="H25" s="15">
        <v>450</v>
      </c>
      <c r="I25" s="15">
        <v>500</v>
      </c>
      <c r="J25" s="15">
        <v>300</v>
      </c>
      <c r="K25" s="15">
        <v>800</v>
      </c>
      <c r="L25" s="15">
        <v>450</v>
      </c>
      <c r="M25" s="15">
        <v>300</v>
      </c>
      <c r="N25" s="15">
        <v>550</v>
      </c>
      <c r="O25" s="15">
        <v>400</v>
      </c>
      <c r="P25" s="15">
        <v>900</v>
      </c>
      <c r="Q25" s="17">
        <f t="shared" si="6"/>
        <v>6000</v>
      </c>
      <c r="S25" s="15">
        <v>400</v>
      </c>
      <c r="T25" s="15">
        <v>350</v>
      </c>
      <c r="U25" s="15">
        <v>600</v>
      </c>
      <c r="V25" s="15">
        <v>450</v>
      </c>
      <c r="W25" s="15">
        <v>500</v>
      </c>
      <c r="X25" s="15">
        <v>300</v>
      </c>
      <c r="Y25" s="15">
        <v>800</v>
      </c>
      <c r="Z25" s="15">
        <v>450</v>
      </c>
      <c r="AA25" s="15">
        <v>300</v>
      </c>
      <c r="AB25" s="15">
        <v>550</v>
      </c>
      <c r="AC25" s="15">
        <v>400</v>
      </c>
      <c r="AD25" s="15">
        <v>900</v>
      </c>
      <c r="AE25" s="17">
        <f t="shared" si="7"/>
        <v>6000</v>
      </c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7">
        <f t="shared" si="8"/>
        <v>0</v>
      </c>
    </row>
    <row r="26" spans="3:45" ht="14.5" customHeight="1" x14ac:dyDescent="0.35">
      <c r="C26" s="14" t="s">
        <v>103</v>
      </c>
      <c r="E26" s="15">
        <v>150</v>
      </c>
      <c r="F26" s="15">
        <v>150</v>
      </c>
      <c r="G26" s="15">
        <v>200</v>
      </c>
      <c r="H26" s="15">
        <v>150</v>
      </c>
      <c r="I26" s="15">
        <v>300</v>
      </c>
      <c r="J26" s="15">
        <v>250</v>
      </c>
      <c r="K26" s="15">
        <v>150</v>
      </c>
      <c r="L26" s="15">
        <v>150</v>
      </c>
      <c r="M26" s="15">
        <v>250</v>
      </c>
      <c r="N26" s="15">
        <v>150</v>
      </c>
      <c r="O26" s="15">
        <v>150</v>
      </c>
      <c r="P26" s="15">
        <v>300</v>
      </c>
      <c r="Q26" s="17">
        <f t="shared" si="6"/>
        <v>2350</v>
      </c>
      <c r="S26" s="15">
        <v>150</v>
      </c>
      <c r="T26" s="15">
        <v>150</v>
      </c>
      <c r="U26" s="15">
        <v>200</v>
      </c>
      <c r="V26" s="15">
        <v>150</v>
      </c>
      <c r="W26" s="15">
        <v>300</v>
      </c>
      <c r="X26" s="15">
        <v>250</v>
      </c>
      <c r="Y26" s="15">
        <v>150</v>
      </c>
      <c r="Z26" s="15">
        <v>150</v>
      </c>
      <c r="AA26" s="15">
        <v>250</v>
      </c>
      <c r="AB26" s="15">
        <v>150</v>
      </c>
      <c r="AC26" s="15">
        <v>150</v>
      </c>
      <c r="AD26" s="15">
        <v>300</v>
      </c>
      <c r="AE26" s="17">
        <f t="shared" si="7"/>
        <v>2350</v>
      </c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7">
        <f t="shared" si="8"/>
        <v>0</v>
      </c>
    </row>
    <row r="27" spans="3:45" ht="14.5" customHeight="1" x14ac:dyDescent="0.35">
      <c r="C27" s="14" t="s">
        <v>104</v>
      </c>
      <c r="E27" s="15">
        <v>0</v>
      </c>
      <c r="F27" s="15">
        <v>0</v>
      </c>
      <c r="G27" s="15">
        <v>1500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1500</v>
      </c>
      <c r="O27" s="15">
        <v>0</v>
      </c>
      <c r="P27" s="15">
        <v>500</v>
      </c>
      <c r="Q27" s="17">
        <f t="shared" si="6"/>
        <v>3500</v>
      </c>
      <c r="S27" s="15">
        <v>0</v>
      </c>
      <c r="T27" s="15">
        <v>0</v>
      </c>
      <c r="U27" s="15">
        <v>1500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1500</v>
      </c>
      <c r="AC27" s="15">
        <v>0</v>
      </c>
      <c r="AD27" s="15">
        <v>500</v>
      </c>
      <c r="AE27" s="17">
        <f t="shared" si="7"/>
        <v>3500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7">
        <f t="shared" si="8"/>
        <v>0</v>
      </c>
    </row>
    <row r="28" spans="3:45" ht="14.5" customHeight="1" x14ac:dyDescent="0.35">
      <c r="C28" s="14" t="s">
        <v>106</v>
      </c>
      <c r="E28" s="15">
        <v>150</v>
      </c>
      <c r="F28" s="15">
        <v>150</v>
      </c>
      <c r="G28" s="15">
        <v>150</v>
      </c>
      <c r="H28" s="15">
        <v>150</v>
      </c>
      <c r="I28" s="15">
        <v>450</v>
      </c>
      <c r="J28" s="15">
        <v>150</v>
      </c>
      <c r="K28" s="15">
        <v>150</v>
      </c>
      <c r="L28" s="15">
        <v>150</v>
      </c>
      <c r="M28" s="15">
        <v>150</v>
      </c>
      <c r="N28" s="15">
        <v>150</v>
      </c>
      <c r="O28" s="15">
        <v>150</v>
      </c>
      <c r="P28" s="15">
        <v>600</v>
      </c>
      <c r="Q28" s="17">
        <f t="shared" si="6"/>
        <v>2550</v>
      </c>
      <c r="S28" s="15">
        <v>150</v>
      </c>
      <c r="T28" s="15">
        <v>150</v>
      </c>
      <c r="U28" s="15">
        <v>150</v>
      </c>
      <c r="V28" s="15">
        <v>150</v>
      </c>
      <c r="W28" s="15">
        <v>450</v>
      </c>
      <c r="X28" s="15">
        <v>150</v>
      </c>
      <c r="Y28" s="15">
        <v>150</v>
      </c>
      <c r="Z28" s="15">
        <v>150</v>
      </c>
      <c r="AA28" s="15">
        <v>150</v>
      </c>
      <c r="AB28" s="15">
        <v>150</v>
      </c>
      <c r="AC28" s="15">
        <v>150</v>
      </c>
      <c r="AD28" s="15">
        <v>600</v>
      </c>
      <c r="AE28" s="17">
        <f t="shared" si="7"/>
        <v>2550</v>
      </c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7">
        <f t="shared" si="8"/>
        <v>0</v>
      </c>
    </row>
    <row r="29" spans="3:45" hidden="1" x14ac:dyDescent="0.35">
      <c r="C29" s="14" t="s">
        <v>14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7">
        <f t="shared" si="6"/>
        <v>0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7">
        <f t="shared" si="7"/>
        <v>0</v>
      </c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7">
        <f t="shared" si="8"/>
        <v>0</v>
      </c>
    </row>
    <row r="30" spans="3:45" x14ac:dyDescent="0.35">
      <c r="C30" s="11" t="s">
        <v>6</v>
      </c>
      <c r="E30" s="16" cm="1">
        <f t="array" aca="1" ref="E30" ca="1">SUM(INDIRECT(ADDRESS(expenses_min_row,COLUMN()) &amp; ":" &amp; ADDRESS(expenses_max_row,COLUMN())))</f>
        <v>6400</v>
      </c>
      <c r="F30" s="16" cm="1">
        <f t="array" aca="1" ref="F30" ca="1">SUM(INDIRECT(ADDRESS(expenses_min_row,COLUMN()) &amp; ":" &amp; ADDRESS(expenses_max_row,COLUMN())))</f>
        <v>6300</v>
      </c>
      <c r="G30" s="16" cm="1">
        <f t="array" aca="1" ref="G30" ca="1">SUM(INDIRECT(ADDRESS(expenses_min_row,COLUMN()) &amp; ":" &amp; ADDRESS(expenses_max_row,COLUMN())))</f>
        <v>8250</v>
      </c>
      <c r="H30" s="16" cm="1">
        <f t="array" aca="1" ref="H30" ca="1">SUM(INDIRECT(ADDRESS(expenses_min_row,COLUMN()) &amp; ":" &amp; ADDRESS(expenses_max_row,COLUMN())))</f>
        <v>6500</v>
      </c>
      <c r="I30" s="16" cm="1">
        <f t="array" aca="1" ref="I30" ca="1">SUM(INDIRECT(ADDRESS(expenses_min_row,COLUMN()) &amp; ":" &amp; ADDRESS(expenses_max_row,COLUMN())))</f>
        <v>6950</v>
      </c>
      <c r="J30" s="16" cm="1">
        <f t="array" aca="1" ref="J30" ca="1">SUM(INDIRECT(ADDRESS(expenses_min_row,COLUMN()) &amp; ":" &amp; ADDRESS(expenses_max_row,COLUMN())))</f>
        <v>6300</v>
      </c>
      <c r="K30" s="16" cm="1">
        <f t="array" aca="1" ref="K30" ca="1">SUM(INDIRECT(ADDRESS(expenses_min_row,COLUMN()) &amp; ":" &amp; ADDRESS(expenses_max_row,COLUMN())))</f>
        <v>6750</v>
      </c>
      <c r="L30" s="16" cm="1">
        <f t="array" aca="1" ref="L30" ca="1">SUM(INDIRECT(ADDRESS(expenses_min_row,COLUMN()) &amp; ":" &amp; ADDRESS(expenses_max_row,COLUMN())))</f>
        <v>6450</v>
      </c>
      <c r="M30" s="16" cm="1">
        <f t="array" aca="1" ref="M30" ca="1">SUM(INDIRECT(ADDRESS(expenses_min_row,COLUMN()) &amp; ":" &amp; ADDRESS(expenses_max_row,COLUMN())))</f>
        <v>6550</v>
      </c>
      <c r="N30" s="16" cm="1">
        <f t="array" aca="1" ref="N30" ca="1">SUM(INDIRECT(ADDRESS(expenses_min_row,COLUMN()) &amp; ":" &amp; ADDRESS(expenses_max_row,COLUMN())))</f>
        <v>8100</v>
      </c>
      <c r="O30" s="16" cm="1">
        <f t="array" aca="1" ref="O30" ca="1">SUM(INDIRECT(ADDRESS(expenses_min_row,COLUMN()) &amp; ":" &amp; ADDRESS(expenses_max_row,COLUMN())))</f>
        <v>6500</v>
      </c>
      <c r="P30" s="16" cm="1">
        <f t="array" aca="1" ref="P30" ca="1">SUM(INDIRECT(ADDRESS(expenses_min_row,COLUMN()) &amp; ":" &amp; ADDRESS(expenses_max_row,COLUMN())))</f>
        <v>8300</v>
      </c>
      <c r="Q30" s="16" cm="1">
        <f t="array" aca="1" ref="Q30" ca="1">SUM(INDIRECT(ADDRESS(expenses_min_row,COLUMN()) &amp; ":" &amp; ADDRESS(expenses_max_row,COLUMN())))</f>
        <v>83350</v>
      </c>
      <c r="S30" s="16" cm="1">
        <f t="array" aca="1" ref="S30" ca="1">SUM(INDIRECT(ADDRESS(expenses_min_row,COLUMN()) &amp; ":" &amp; ADDRESS(expenses_max_row,COLUMN())))</f>
        <v>6400</v>
      </c>
      <c r="T30" s="16" cm="1">
        <f t="array" aca="1" ref="T30" ca="1">SUM(INDIRECT(ADDRESS(expenses_min_row,COLUMN()) &amp; ":" &amp; ADDRESS(expenses_max_row,COLUMN())))</f>
        <v>6300</v>
      </c>
      <c r="U30" s="16" cm="1">
        <f t="array" aca="1" ref="U30" ca="1">SUM(INDIRECT(ADDRESS(expenses_min_row,COLUMN()) &amp; ":" &amp; ADDRESS(expenses_max_row,COLUMN())))</f>
        <v>8250</v>
      </c>
      <c r="V30" s="16" cm="1">
        <f t="array" aca="1" ref="V30" ca="1">SUM(INDIRECT(ADDRESS(expenses_min_row,COLUMN()) &amp; ":" &amp; ADDRESS(expenses_max_row,COLUMN())))</f>
        <v>6500</v>
      </c>
      <c r="W30" s="16" cm="1">
        <f t="array" aca="1" ref="W30" ca="1">SUM(INDIRECT(ADDRESS(expenses_min_row,COLUMN()) &amp; ":" &amp; ADDRESS(expenses_max_row,COLUMN())))</f>
        <v>6950</v>
      </c>
      <c r="X30" s="16" cm="1">
        <f t="array" aca="1" ref="X30" ca="1">SUM(INDIRECT(ADDRESS(expenses_min_row,COLUMN()) &amp; ":" &amp; ADDRESS(expenses_max_row,COLUMN())))</f>
        <v>6300</v>
      </c>
      <c r="Y30" s="16" cm="1">
        <f t="array" aca="1" ref="Y30" ca="1">SUM(INDIRECT(ADDRESS(expenses_min_row,COLUMN()) &amp; ":" &amp; ADDRESS(expenses_max_row,COLUMN())))</f>
        <v>6750</v>
      </c>
      <c r="Z30" s="16" cm="1">
        <f t="array" aca="1" ref="Z30" ca="1">SUM(INDIRECT(ADDRESS(expenses_min_row,COLUMN()) &amp; ":" &amp; ADDRESS(expenses_max_row,COLUMN())))</f>
        <v>6450</v>
      </c>
      <c r="AA30" s="16" cm="1">
        <f t="array" aca="1" ref="AA30" ca="1">SUM(INDIRECT(ADDRESS(expenses_min_row,COLUMN()) &amp; ":" &amp; ADDRESS(expenses_max_row,COLUMN())))</f>
        <v>6550</v>
      </c>
      <c r="AB30" s="16" cm="1">
        <f t="array" aca="1" ref="AB30" ca="1">SUM(INDIRECT(ADDRESS(expenses_min_row,COLUMN()) &amp; ":" &amp; ADDRESS(expenses_max_row,COLUMN())))</f>
        <v>8100</v>
      </c>
      <c r="AC30" s="16" cm="1">
        <f t="array" aca="1" ref="AC30" ca="1">SUM(INDIRECT(ADDRESS(expenses_min_row,COLUMN()) &amp; ":" &amp; ADDRESS(expenses_max_row,COLUMN())))</f>
        <v>6500</v>
      </c>
      <c r="AD30" s="16" cm="1">
        <f t="array" aca="1" ref="AD30" ca="1">SUM(INDIRECT(ADDRESS(expenses_min_row,COLUMN()) &amp; ":" &amp; ADDRESS(expenses_max_row,COLUMN())))</f>
        <v>8300</v>
      </c>
      <c r="AE30" s="16" cm="1">
        <f t="array" aca="1" ref="AE30" ca="1">SUM(INDIRECT(ADDRESS(expenses_min_row,COLUMN()) &amp; ":" &amp; ADDRESS(expenses_max_row,COLUMN())))</f>
        <v>83350</v>
      </c>
      <c r="AG30" s="16" cm="1">
        <f t="array" aca="1" ref="AG30" ca="1">SUM(INDIRECT(ADDRESS(expenses_min_row,COLUMN()) &amp; ":" &amp; ADDRESS(expenses_max_row,COLUMN())))</f>
        <v>0</v>
      </c>
      <c r="AH30" s="16" cm="1">
        <f t="array" aca="1" ref="AH30" ca="1">SUM(INDIRECT(ADDRESS(expenses_min_row,COLUMN()) &amp; ":" &amp; ADDRESS(expenses_max_row,COLUMN())))</f>
        <v>0</v>
      </c>
      <c r="AI30" s="16" cm="1">
        <f t="array" aca="1" ref="AI30" ca="1">SUM(INDIRECT(ADDRESS(expenses_min_row,COLUMN()) &amp; ":" &amp; ADDRESS(expenses_max_row,COLUMN())))</f>
        <v>0</v>
      </c>
      <c r="AJ30" s="16" cm="1">
        <f t="array" aca="1" ref="AJ30" ca="1">SUM(INDIRECT(ADDRESS(expenses_min_row,COLUMN()) &amp; ":" &amp; ADDRESS(expenses_max_row,COLUMN())))</f>
        <v>0</v>
      </c>
      <c r="AK30" s="16" cm="1">
        <f t="array" aca="1" ref="AK30" ca="1">SUM(INDIRECT(ADDRESS(expenses_min_row,COLUMN()) &amp; ":" &amp; ADDRESS(expenses_max_row,COLUMN())))</f>
        <v>0</v>
      </c>
      <c r="AL30" s="16" cm="1">
        <f t="array" aca="1" ref="AL30" ca="1">SUM(INDIRECT(ADDRESS(expenses_min_row,COLUMN()) &amp; ":" &amp; ADDRESS(expenses_max_row,COLUMN())))</f>
        <v>0</v>
      </c>
      <c r="AM30" s="16" cm="1">
        <f t="array" aca="1" ref="AM30" ca="1">SUM(INDIRECT(ADDRESS(expenses_min_row,COLUMN()) &amp; ":" &amp; ADDRESS(expenses_max_row,COLUMN())))</f>
        <v>0</v>
      </c>
      <c r="AN30" s="16" cm="1">
        <f t="array" aca="1" ref="AN30" ca="1">SUM(INDIRECT(ADDRESS(expenses_min_row,COLUMN()) &amp; ":" &amp; ADDRESS(expenses_max_row,COLUMN())))</f>
        <v>0</v>
      </c>
      <c r="AO30" s="16" cm="1">
        <f t="array" aca="1" ref="AO30" ca="1">SUM(INDIRECT(ADDRESS(expenses_min_row,COLUMN()) &amp; ":" &amp; ADDRESS(expenses_max_row,COLUMN())))</f>
        <v>0</v>
      </c>
      <c r="AP30" s="16" cm="1">
        <f t="array" aca="1" ref="AP30" ca="1">SUM(INDIRECT(ADDRESS(expenses_min_row,COLUMN()) &amp; ":" &amp; ADDRESS(expenses_max_row,COLUMN())))</f>
        <v>0</v>
      </c>
      <c r="AQ30" s="16" cm="1">
        <f t="array" aca="1" ref="AQ30" ca="1">SUM(INDIRECT(ADDRESS(expenses_min_row,COLUMN()) &amp; ":" &amp; ADDRESS(expenses_max_row,COLUMN())))</f>
        <v>0</v>
      </c>
      <c r="AR30" s="16" cm="1">
        <f t="array" aca="1" ref="AR30" ca="1">SUM(INDIRECT(ADDRESS(expenses_min_row,COLUMN()) &amp; ":" &amp; ADDRESS(expenses_max_row,COLUMN())))</f>
        <v>0</v>
      </c>
      <c r="AS30" s="16" cm="1">
        <f t="array" aca="1" ref="AS30" ca="1">SUM(INDIRECT(ADDRESS(expenses_min_row,COLUMN()) &amp; ":" &amp; ADDRESS(expenses_max_row,COLUMN())))</f>
        <v>0</v>
      </c>
    </row>
    <row r="32" spans="3:45" x14ac:dyDescent="0.35">
      <c r="C32" s="10" t="s">
        <v>15</v>
      </c>
      <c r="E32" s="20">
        <f>DATE(E$5,1,1)</f>
        <v>45658</v>
      </c>
      <c r="F32" s="20">
        <f>DATE(E$5,2,1)</f>
        <v>45689</v>
      </c>
      <c r="G32" s="20">
        <f>DATE(E$5,3,1)</f>
        <v>45717</v>
      </c>
      <c r="H32" s="20">
        <f>DATE(E$5,4,1)</f>
        <v>45748</v>
      </c>
      <c r="I32" s="20">
        <f>DATE(E$5,5,1)</f>
        <v>45778</v>
      </c>
      <c r="J32" s="20">
        <f>DATE(E$5,6,1)</f>
        <v>45809</v>
      </c>
      <c r="K32" s="20">
        <f>DATE(E$5,7,1)</f>
        <v>45839</v>
      </c>
      <c r="L32" s="20">
        <f>DATE(E$5,8,1)</f>
        <v>45870</v>
      </c>
      <c r="M32" s="20">
        <f>DATE(E$5,9,1)</f>
        <v>45901</v>
      </c>
      <c r="N32" s="20">
        <f>DATE(E$5,10,1)</f>
        <v>45931</v>
      </c>
      <c r="O32" s="20">
        <f>DATE(E$5,11,1)</f>
        <v>45962</v>
      </c>
      <c r="P32" s="20">
        <f>DATE(E$5,12,1)</f>
        <v>45992</v>
      </c>
      <c r="Q32" s="21">
        <f>E5</f>
        <v>2025</v>
      </c>
      <c r="S32" s="20">
        <f>DATE(S$5,1,1)</f>
        <v>46023</v>
      </c>
      <c r="T32" s="20">
        <f>DATE(S$5,2,1)</f>
        <v>46054</v>
      </c>
      <c r="U32" s="20">
        <f>DATE(S$5,3,1)</f>
        <v>46082</v>
      </c>
      <c r="V32" s="20">
        <f>DATE(S$5,4,1)</f>
        <v>46113</v>
      </c>
      <c r="W32" s="20">
        <f>DATE(S$5,5,1)</f>
        <v>46143</v>
      </c>
      <c r="X32" s="20">
        <f>DATE(S$5,6,1)</f>
        <v>46174</v>
      </c>
      <c r="Y32" s="20">
        <f>DATE(S$5,7,1)</f>
        <v>46204</v>
      </c>
      <c r="Z32" s="20">
        <f>DATE(S$5,8,1)</f>
        <v>46235</v>
      </c>
      <c r="AA32" s="20">
        <f>DATE(S$5,9,1)</f>
        <v>46266</v>
      </c>
      <c r="AB32" s="20">
        <f>DATE(S$5,10,1)</f>
        <v>46296</v>
      </c>
      <c r="AC32" s="20">
        <f>DATE(S$5,11,1)</f>
        <v>46327</v>
      </c>
      <c r="AD32" s="20">
        <f>DATE(S$5,12,1)</f>
        <v>46357</v>
      </c>
      <c r="AE32" s="21">
        <f>S5</f>
        <v>2026</v>
      </c>
      <c r="AG32" s="20">
        <f>DATE(AG$5,1,1)</f>
        <v>46388</v>
      </c>
      <c r="AH32" s="20">
        <f>DATE(AG$5,2,1)</f>
        <v>46419</v>
      </c>
      <c r="AI32" s="20">
        <f>DATE(AG$5,3,1)</f>
        <v>46447</v>
      </c>
      <c r="AJ32" s="20">
        <f>DATE(AG$5,4,1)</f>
        <v>46478</v>
      </c>
      <c r="AK32" s="20">
        <f>DATE(AG$5,5,1)</f>
        <v>46508</v>
      </c>
      <c r="AL32" s="20">
        <f>DATE(AG$5,6,1)</f>
        <v>46539</v>
      </c>
      <c r="AM32" s="20">
        <f>DATE(AG$5,7,1)</f>
        <v>46569</v>
      </c>
      <c r="AN32" s="20">
        <f>DATE(AG$5,8,1)</f>
        <v>46600</v>
      </c>
      <c r="AO32" s="20">
        <f>DATE(AG$5,9,1)</f>
        <v>46631</v>
      </c>
      <c r="AP32" s="20">
        <f>DATE(AG$5,10,1)</f>
        <v>46661</v>
      </c>
      <c r="AQ32" s="20">
        <f>DATE(AG$5,11,1)</f>
        <v>46692</v>
      </c>
      <c r="AR32" s="20">
        <f>DATE(AG$5,12,1)</f>
        <v>46722</v>
      </c>
      <c r="AS32" s="21">
        <f>AG5</f>
        <v>2027</v>
      </c>
    </row>
    <row r="33" spans="3:45" x14ac:dyDescent="0.35">
      <c r="C33" s="14" t="s">
        <v>16</v>
      </c>
      <c r="E33" s="15">
        <v>1200</v>
      </c>
      <c r="F33" s="15">
        <v>1200</v>
      </c>
      <c r="G33" s="15">
        <v>1200</v>
      </c>
      <c r="H33" s="15">
        <v>1200</v>
      </c>
      <c r="I33" s="15">
        <v>1200</v>
      </c>
      <c r="J33" s="15">
        <v>1200</v>
      </c>
      <c r="K33" s="15">
        <v>1200</v>
      </c>
      <c r="L33" s="15">
        <v>1200</v>
      </c>
      <c r="M33" s="15">
        <v>1200</v>
      </c>
      <c r="N33" s="15">
        <v>1200</v>
      </c>
      <c r="O33" s="15">
        <v>1200</v>
      </c>
      <c r="P33" s="15">
        <v>1200</v>
      </c>
      <c r="Q33" s="17">
        <f>SUM(E33:P33)</f>
        <v>14400</v>
      </c>
      <c r="S33" s="15">
        <v>1200</v>
      </c>
      <c r="T33" s="15">
        <v>1200</v>
      </c>
      <c r="U33" s="15">
        <v>1200</v>
      </c>
      <c r="V33" s="15">
        <v>1200</v>
      </c>
      <c r="W33" s="15">
        <v>1200</v>
      </c>
      <c r="X33" s="15">
        <v>1200</v>
      </c>
      <c r="Y33" s="15">
        <v>1200</v>
      </c>
      <c r="Z33" s="15">
        <v>1200</v>
      </c>
      <c r="AA33" s="15">
        <v>1200</v>
      </c>
      <c r="AB33" s="15">
        <v>1200</v>
      </c>
      <c r="AC33" s="15">
        <v>1200</v>
      </c>
      <c r="AD33" s="15">
        <v>1200</v>
      </c>
      <c r="AE33" s="17">
        <f>SUM(S33:AD33)</f>
        <v>14400</v>
      </c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7">
        <f>SUM(AG33:AR33)</f>
        <v>0</v>
      </c>
    </row>
    <row r="34" spans="3:45" x14ac:dyDescent="0.35">
      <c r="C34" s="14" t="s">
        <v>17</v>
      </c>
      <c r="E34" s="15">
        <v>1400</v>
      </c>
      <c r="F34" s="15">
        <v>1400</v>
      </c>
      <c r="G34" s="15">
        <v>1400</v>
      </c>
      <c r="H34" s="15">
        <v>1400</v>
      </c>
      <c r="I34" s="15">
        <v>1400</v>
      </c>
      <c r="J34" s="15">
        <v>1400</v>
      </c>
      <c r="K34" s="15">
        <v>1400</v>
      </c>
      <c r="L34" s="15">
        <v>1400</v>
      </c>
      <c r="M34" s="15">
        <v>1400</v>
      </c>
      <c r="N34" s="15">
        <v>1400</v>
      </c>
      <c r="O34" s="15">
        <v>1400</v>
      </c>
      <c r="P34" s="15">
        <v>1400</v>
      </c>
      <c r="Q34" s="17">
        <f t="shared" ref="Q34:Q42" si="9">SUM(E34:P34)</f>
        <v>16800</v>
      </c>
      <c r="S34" s="15">
        <v>1400</v>
      </c>
      <c r="T34" s="15">
        <v>1400</v>
      </c>
      <c r="U34" s="15">
        <v>1400</v>
      </c>
      <c r="V34" s="15">
        <v>1400</v>
      </c>
      <c r="W34" s="15">
        <v>1400</v>
      </c>
      <c r="X34" s="15">
        <v>1400</v>
      </c>
      <c r="Y34" s="15">
        <v>1400</v>
      </c>
      <c r="Z34" s="15">
        <v>1400</v>
      </c>
      <c r="AA34" s="15">
        <v>1400</v>
      </c>
      <c r="AB34" s="15">
        <v>1400</v>
      </c>
      <c r="AC34" s="15">
        <v>1400</v>
      </c>
      <c r="AD34" s="15">
        <v>1400</v>
      </c>
      <c r="AE34" s="17">
        <f t="shared" ref="AE34:AE42" si="10">SUM(S34:AD34)</f>
        <v>16800</v>
      </c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7">
        <f t="shared" ref="AS34:AS42" si="11">SUM(AG34:AR34)</f>
        <v>0</v>
      </c>
    </row>
    <row r="35" spans="3:45" x14ac:dyDescent="0.35">
      <c r="C35" s="14" t="s">
        <v>18</v>
      </c>
      <c r="E35" s="15">
        <v>800</v>
      </c>
      <c r="F35" s="15">
        <v>900</v>
      </c>
      <c r="G35" s="15">
        <v>1000</v>
      </c>
      <c r="H35" s="15">
        <v>700</v>
      </c>
      <c r="I35" s="15">
        <v>1100</v>
      </c>
      <c r="J35" s="15">
        <v>1000</v>
      </c>
      <c r="K35" s="15">
        <v>900</v>
      </c>
      <c r="L35" s="15">
        <v>1200</v>
      </c>
      <c r="M35" s="15">
        <v>800</v>
      </c>
      <c r="N35" s="15">
        <v>1000</v>
      </c>
      <c r="O35" s="15">
        <v>900</v>
      </c>
      <c r="P35" s="15">
        <v>1800</v>
      </c>
      <c r="Q35" s="17">
        <f t="shared" si="9"/>
        <v>12100</v>
      </c>
      <c r="S35" s="15">
        <v>800</v>
      </c>
      <c r="T35" s="15">
        <v>900</v>
      </c>
      <c r="U35" s="15">
        <v>1000</v>
      </c>
      <c r="V35" s="15">
        <v>700</v>
      </c>
      <c r="W35" s="15">
        <v>1100</v>
      </c>
      <c r="X35" s="15">
        <v>1000</v>
      </c>
      <c r="Y35" s="15">
        <v>900</v>
      </c>
      <c r="Z35" s="15">
        <v>1200</v>
      </c>
      <c r="AA35" s="15">
        <v>800</v>
      </c>
      <c r="AB35" s="15">
        <v>1000</v>
      </c>
      <c r="AC35" s="15">
        <v>900</v>
      </c>
      <c r="AD35" s="15">
        <v>1800</v>
      </c>
      <c r="AE35" s="17">
        <f t="shared" si="10"/>
        <v>12100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7">
        <f t="shared" si="11"/>
        <v>0</v>
      </c>
    </row>
    <row r="36" spans="3:45" x14ac:dyDescent="0.35">
      <c r="C36" s="14" t="s">
        <v>10</v>
      </c>
      <c r="E36" s="15">
        <v>100</v>
      </c>
      <c r="F36" s="15">
        <v>200</v>
      </c>
      <c r="G36" s="15">
        <v>150</v>
      </c>
      <c r="H36" s="15">
        <v>250</v>
      </c>
      <c r="I36" s="15">
        <v>100</v>
      </c>
      <c r="J36" s="15">
        <v>300</v>
      </c>
      <c r="K36" s="15">
        <v>200</v>
      </c>
      <c r="L36" s="15">
        <v>150</v>
      </c>
      <c r="M36" s="15">
        <v>250</v>
      </c>
      <c r="N36" s="15">
        <v>200</v>
      </c>
      <c r="O36" s="15">
        <v>100</v>
      </c>
      <c r="P36" s="15">
        <v>300</v>
      </c>
      <c r="Q36" s="17">
        <f t="shared" si="9"/>
        <v>2300</v>
      </c>
      <c r="S36" s="15">
        <v>100</v>
      </c>
      <c r="T36" s="15">
        <v>200</v>
      </c>
      <c r="U36" s="15">
        <v>150</v>
      </c>
      <c r="V36" s="15">
        <v>250</v>
      </c>
      <c r="W36" s="15">
        <v>100</v>
      </c>
      <c r="X36" s="15">
        <v>300</v>
      </c>
      <c r="Y36" s="15">
        <v>200</v>
      </c>
      <c r="Z36" s="15">
        <v>150</v>
      </c>
      <c r="AA36" s="15">
        <v>250</v>
      </c>
      <c r="AB36" s="15">
        <v>200</v>
      </c>
      <c r="AC36" s="15">
        <v>100</v>
      </c>
      <c r="AD36" s="15">
        <v>300</v>
      </c>
      <c r="AE36" s="17">
        <f t="shared" si="10"/>
        <v>2300</v>
      </c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7">
        <f t="shared" si="11"/>
        <v>0</v>
      </c>
    </row>
    <row r="37" spans="3:45" ht="14.5" hidden="1" customHeight="1" x14ac:dyDescent="0.35">
      <c r="C37" s="14" t="s">
        <v>19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7">
        <f t="shared" si="9"/>
        <v>0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7">
        <f t="shared" si="10"/>
        <v>0</v>
      </c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7">
        <f t="shared" si="11"/>
        <v>0</v>
      </c>
    </row>
    <row r="38" spans="3:45" ht="14.5" hidden="1" customHeight="1" x14ac:dyDescent="0.35">
      <c r="C38" s="14" t="s">
        <v>19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7">
        <f t="shared" si="9"/>
        <v>0</v>
      </c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7">
        <f t="shared" si="10"/>
        <v>0</v>
      </c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7">
        <f t="shared" si="11"/>
        <v>0</v>
      </c>
    </row>
    <row r="39" spans="3:45" ht="14.5" hidden="1" customHeight="1" x14ac:dyDescent="0.35">
      <c r="C39" s="14" t="s">
        <v>19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7">
        <f t="shared" si="9"/>
        <v>0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7">
        <f t="shared" si="10"/>
        <v>0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7">
        <f t="shared" si="11"/>
        <v>0</v>
      </c>
    </row>
    <row r="40" spans="3:45" ht="14.5" hidden="1" customHeight="1" x14ac:dyDescent="0.35">
      <c r="C40" s="14" t="s">
        <v>19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7">
        <f t="shared" si="9"/>
        <v>0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7">
        <f t="shared" si="10"/>
        <v>0</v>
      </c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7">
        <f t="shared" si="11"/>
        <v>0</v>
      </c>
    </row>
    <row r="41" spans="3:45" ht="14.5" hidden="1" customHeight="1" x14ac:dyDescent="0.35">
      <c r="C41" s="14" t="s">
        <v>19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7">
        <f t="shared" si="9"/>
        <v>0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7">
        <f t="shared" si="10"/>
        <v>0</v>
      </c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7">
        <f t="shared" si="11"/>
        <v>0</v>
      </c>
    </row>
    <row r="42" spans="3:45" ht="14.5" hidden="1" customHeight="1" x14ac:dyDescent="0.35">
      <c r="C42" s="14" t="s">
        <v>19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7">
        <f t="shared" si="9"/>
        <v>0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7">
        <f t="shared" si="10"/>
        <v>0</v>
      </c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7">
        <f t="shared" si="11"/>
        <v>0</v>
      </c>
    </row>
    <row r="43" spans="3:45" x14ac:dyDescent="0.35">
      <c r="C43" s="11" t="s">
        <v>6</v>
      </c>
      <c r="E43" s="16" cm="1">
        <f t="array" aca="1" ref="E43" ca="1">SUM(INDIRECT(ADDRESS(savings_min_row,COLUMN()) &amp; ":" &amp; ADDRESS(savings_max_row,COLUMN())))</f>
        <v>3500</v>
      </c>
      <c r="F43" s="16" cm="1">
        <f t="array" aca="1" ref="F43" ca="1">SUM(INDIRECT(ADDRESS(savings_min_row,COLUMN()) &amp; ":" &amp; ADDRESS(savings_max_row,COLUMN())))</f>
        <v>3700</v>
      </c>
      <c r="G43" s="16" cm="1">
        <f t="array" aca="1" ref="G43" ca="1">SUM(INDIRECT(ADDRESS(savings_min_row,COLUMN()) &amp; ":" &amp; ADDRESS(savings_max_row,COLUMN())))</f>
        <v>3750</v>
      </c>
      <c r="H43" s="16" cm="1">
        <f t="array" aca="1" ref="H43" ca="1">SUM(INDIRECT(ADDRESS(savings_min_row,COLUMN()) &amp; ":" &amp; ADDRESS(savings_max_row,COLUMN())))</f>
        <v>3550</v>
      </c>
      <c r="I43" s="16" cm="1">
        <f t="array" aca="1" ref="I43" ca="1">SUM(INDIRECT(ADDRESS(savings_min_row,COLUMN()) &amp; ":" &amp; ADDRESS(savings_max_row,COLUMN())))</f>
        <v>3800</v>
      </c>
      <c r="J43" s="16" cm="1">
        <f t="array" aca="1" ref="J43" ca="1">SUM(INDIRECT(ADDRESS(savings_min_row,COLUMN()) &amp; ":" &amp; ADDRESS(savings_max_row,COLUMN())))</f>
        <v>3900</v>
      </c>
      <c r="K43" s="16" cm="1">
        <f t="array" aca="1" ref="K43" ca="1">SUM(INDIRECT(ADDRESS(savings_min_row,COLUMN()) &amp; ":" &amp; ADDRESS(savings_max_row,COLUMN())))</f>
        <v>3700</v>
      </c>
      <c r="L43" s="16" cm="1">
        <f t="array" aca="1" ref="L43" ca="1">SUM(INDIRECT(ADDRESS(savings_min_row,COLUMN()) &amp; ":" &amp; ADDRESS(savings_max_row,COLUMN())))</f>
        <v>3950</v>
      </c>
      <c r="M43" s="16" cm="1">
        <f t="array" aca="1" ref="M43" ca="1">SUM(INDIRECT(ADDRESS(savings_min_row,COLUMN()) &amp; ":" &amp; ADDRESS(savings_max_row,COLUMN())))</f>
        <v>3650</v>
      </c>
      <c r="N43" s="16" cm="1">
        <f t="array" aca="1" ref="N43" ca="1">SUM(INDIRECT(ADDRESS(savings_min_row,COLUMN()) &amp; ":" &amp; ADDRESS(savings_max_row,COLUMN())))</f>
        <v>3800</v>
      </c>
      <c r="O43" s="16" cm="1">
        <f t="array" aca="1" ref="O43" ca="1">SUM(INDIRECT(ADDRESS(savings_min_row,COLUMN()) &amp; ":" &amp; ADDRESS(savings_max_row,COLUMN())))</f>
        <v>3600</v>
      </c>
      <c r="P43" s="16" cm="1">
        <f t="array" aca="1" ref="P43" ca="1">SUM(INDIRECT(ADDRESS(savings_min_row,COLUMN()) &amp; ":" &amp; ADDRESS(savings_max_row,COLUMN())))</f>
        <v>4700</v>
      </c>
      <c r="Q43" s="16" cm="1">
        <f t="array" aca="1" ref="Q43" ca="1">SUM(INDIRECT(ADDRESS(savings_min_row,COLUMN()) &amp; ":" &amp; ADDRESS(savings_max_row,COLUMN())))</f>
        <v>45600</v>
      </c>
      <c r="S43" s="16" cm="1">
        <f t="array" aca="1" ref="S43" ca="1">SUM(INDIRECT(ADDRESS(savings_min_row,COLUMN()) &amp; ":" &amp; ADDRESS(savings_max_row,COLUMN())))</f>
        <v>3500</v>
      </c>
      <c r="T43" s="16" cm="1">
        <f t="array" aca="1" ref="T43" ca="1">SUM(INDIRECT(ADDRESS(savings_min_row,COLUMN()) &amp; ":" &amp; ADDRESS(savings_max_row,COLUMN())))</f>
        <v>3700</v>
      </c>
      <c r="U43" s="16" cm="1">
        <f t="array" aca="1" ref="U43" ca="1">SUM(INDIRECT(ADDRESS(savings_min_row,COLUMN()) &amp; ":" &amp; ADDRESS(savings_max_row,COLUMN())))</f>
        <v>3750</v>
      </c>
      <c r="V43" s="16" cm="1">
        <f t="array" aca="1" ref="V43" ca="1">SUM(INDIRECT(ADDRESS(savings_min_row,COLUMN()) &amp; ":" &amp; ADDRESS(savings_max_row,COLUMN())))</f>
        <v>3550</v>
      </c>
      <c r="W43" s="16" cm="1">
        <f t="array" aca="1" ref="W43" ca="1">SUM(INDIRECT(ADDRESS(savings_min_row,COLUMN()) &amp; ":" &amp; ADDRESS(savings_max_row,COLUMN())))</f>
        <v>3800</v>
      </c>
      <c r="X43" s="16" cm="1">
        <f t="array" aca="1" ref="X43" ca="1">SUM(INDIRECT(ADDRESS(savings_min_row,COLUMN()) &amp; ":" &amp; ADDRESS(savings_max_row,COLUMN())))</f>
        <v>3900</v>
      </c>
      <c r="Y43" s="16" cm="1">
        <f t="array" aca="1" ref="Y43" ca="1">SUM(INDIRECT(ADDRESS(savings_min_row,COLUMN()) &amp; ":" &amp; ADDRESS(savings_max_row,COLUMN())))</f>
        <v>3700</v>
      </c>
      <c r="Z43" s="16" cm="1">
        <f t="array" aca="1" ref="Z43" ca="1">SUM(INDIRECT(ADDRESS(savings_min_row,COLUMN()) &amp; ":" &amp; ADDRESS(savings_max_row,COLUMN())))</f>
        <v>3950</v>
      </c>
      <c r="AA43" s="16" cm="1">
        <f t="array" aca="1" ref="AA43" ca="1">SUM(INDIRECT(ADDRESS(savings_min_row,COLUMN()) &amp; ":" &amp; ADDRESS(savings_max_row,COLUMN())))</f>
        <v>3650</v>
      </c>
      <c r="AB43" s="16" cm="1">
        <f t="array" aca="1" ref="AB43" ca="1">SUM(INDIRECT(ADDRESS(savings_min_row,COLUMN()) &amp; ":" &amp; ADDRESS(savings_max_row,COLUMN())))</f>
        <v>3800</v>
      </c>
      <c r="AC43" s="16" cm="1">
        <f t="array" aca="1" ref="AC43" ca="1">SUM(INDIRECT(ADDRESS(savings_min_row,COLUMN()) &amp; ":" &amp; ADDRESS(savings_max_row,COLUMN())))</f>
        <v>3600</v>
      </c>
      <c r="AD43" s="16" cm="1">
        <f t="array" aca="1" ref="AD43" ca="1">SUM(INDIRECT(ADDRESS(savings_min_row,COLUMN()) &amp; ":" &amp; ADDRESS(savings_max_row,COLUMN())))</f>
        <v>4700</v>
      </c>
      <c r="AE43" s="16" cm="1">
        <f t="array" aca="1" ref="AE43" ca="1">SUM(INDIRECT(ADDRESS(savings_min_row,COLUMN()) &amp; ":" &amp; ADDRESS(savings_max_row,COLUMN())))</f>
        <v>45600</v>
      </c>
      <c r="AG43" s="16" cm="1">
        <f t="array" aca="1" ref="AG43" ca="1">SUM(INDIRECT(ADDRESS(savings_min_row,COLUMN()) &amp; ":" &amp; ADDRESS(savings_max_row,COLUMN())))</f>
        <v>0</v>
      </c>
      <c r="AH43" s="16" cm="1">
        <f t="array" aca="1" ref="AH43" ca="1">SUM(INDIRECT(ADDRESS(savings_min_row,COLUMN()) &amp; ":" &amp; ADDRESS(savings_max_row,COLUMN())))</f>
        <v>0</v>
      </c>
      <c r="AI43" s="16" cm="1">
        <f t="array" aca="1" ref="AI43" ca="1">SUM(INDIRECT(ADDRESS(savings_min_row,COLUMN()) &amp; ":" &amp; ADDRESS(savings_max_row,COLUMN())))</f>
        <v>0</v>
      </c>
      <c r="AJ43" s="16" cm="1">
        <f t="array" aca="1" ref="AJ43" ca="1">SUM(INDIRECT(ADDRESS(savings_min_row,COLUMN()) &amp; ":" &amp; ADDRESS(savings_max_row,COLUMN())))</f>
        <v>0</v>
      </c>
      <c r="AK43" s="16" cm="1">
        <f t="array" aca="1" ref="AK43" ca="1">SUM(INDIRECT(ADDRESS(savings_min_row,COLUMN()) &amp; ":" &amp; ADDRESS(savings_max_row,COLUMN())))</f>
        <v>0</v>
      </c>
      <c r="AL43" s="16" cm="1">
        <f t="array" aca="1" ref="AL43" ca="1">SUM(INDIRECT(ADDRESS(savings_min_row,COLUMN()) &amp; ":" &amp; ADDRESS(savings_max_row,COLUMN())))</f>
        <v>0</v>
      </c>
      <c r="AM43" s="16" cm="1">
        <f t="array" aca="1" ref="AM43" ca="1">SUM(INDIRECT(ADDRESS(savings_min_row,COLUMN()) &amp; ":" &amp; ADDRESS(savings_max_row,COLUMN())))</f>
        <v>0</v>
      </c>
      <c r="AN43" s="16" cm="1">
        <f t="array" aca="1" ref="AN43" ca="1">SUM(INDIRECT(ADDRESS(savings_min_row,COLUMN()) &amp; ":" &amp; ADDRESS(savings_max_row,COLUMN())))</f>
        <v>0</v>
      </c>
      <c r="AO43" s="16" cm="1">
        <f t="array" aca="1" ref="AO43" ca="1">SUM(INDIRECT(ADDRESS(savings_min_row,COLUMN()) &amp; ":" &amp; ADDRESS(savings_max_row,COLUMN())))</f>
        <v>0</v>
      </c>
      <c r="AP43" s="16" cm="1">
        <f t="array" aca="1" ref="AP43" ca="1">SUM(INDIRECT(ADDRESS(savings_min_row,COLUMN()) &amp; ":" &amp; ADDRESS(savings_max_row,COLUMN())))</f>
        <v>0</v>
      </c>
      <c r="AQ43" s="16" cm="1">
        <f t="array" aca="1" ref="AQ43" ca="1">SUM(INDIRECT(ADDRESS(savings_min_row,COLUMN()) &amp; ":" &amp; ADDRESS(savings_max_row,COLUMN())))</f>
        <v>0</v>
      </c>
      <c r="AR43" s="16" cm="1">
        <f t="array" aca="1" ref="AR43" ca="1">SUM(INDIRECT(ADDRESS(savings_min_row,COLUMN()) &amp; ":" &amp; ADDRESS(savings_max_row,COLUMN())))</f>
        <v>0</v>
      </c>
      <c r="AS43" s="16" cm="1">
        <f t="array" aca="1" ref="AS43" ca="1">SUM(INDIRECT(ADDRESS(savings_min_row,COLUMN()) &amp; ":" &amp; ADDRESS(savings_max_row,COLUMN())))</f>
        <v>0</v>
      </c>
    </row>
  </sheetData>
  <mergeCells count="4">
    <mergeCell ref="B1:E3"/>
    <mergeCell ref="E5:Q5"/>
    <mergeCell ref="S5:AE5"/>
    <mergeCell ref="AG5:AS5"/>
  </mergeCells>
  <conditionalFormatting sqref="C10:C19">
    <cfRule type="expression" dxfId="46" priority="24">
      <formula>ROW(A10)&lt;=income_max_row</formula>
    </cfRule>
  </conditionalFormatting>
  <conditionalFormatting sqref="C23:C29 E23:Q29 S23:AE29 AG23:AS29">
    <cfRule type="expression" dxfId="45" priority="19">
      <formula>ROW(A23)&lt;=expenses_max_row</formula>
    </cfRule>
  </conditionalFormatting>
  <conditionalFormatting sqref="C33:C42">
    <cfRule type="expression" dxfId="44" priority="18">
      <formula>ROW(A33)&lt;=savings_max_row</formula>
    </cfRule>
  </conditionalFormatting>
  <conditionalFormatting sqref="E6:Q7 S6:AE7 AG6:AS7">
    <cfRule type="expression" dxfId="43" priority="61" stopIfTrue="1">
      <formula>AND(E$20=0, E$30=0, E$43=0)</formula>
    </cfRule>
    <cfRule type="expression" dxfId="42" priority="62" stopIfTrue="1">
      <formula>E$7=0</formula>
    </cfRule>
    <cfRule type="expression" dxfId="41" priority="63">
      <formula>E$7&lt;0</formula>
    </cfRule>
  </conditionalFormatting>
  <conditionalFormatting sqref="E10:Q19">
    <cfRule type="expression" dxfId="40" priority="2">
      <formula>ROW(C10)&lt;=income_max_row</formula>
    </cfRule>
  </conditionalFormatting>
  <conditionalFormatting sqref="E33:Q42">
    <cfRule type="expression" dxfId="39" priority="1">
      <formula>ROW(C33)&lt;=savings_max_row</formula>
    </cfRule>
  </conditionalFormatting>
  <conditionalFormatting sqref="S10:AE19">
    <cfRule type="expression" dxfId="38" priority="14">
      <formula>ROW(Q10)&lt;=income_max_row</formula>
    </cfRule>
  </conditionalFormatting>
  <conditionalFormatting sqref="S33:AE42">
    <cfRule type="expression" dxfId="37" priority="12">
      <formula>ROW(Q33)&lt;=savings_max_row</formula>
    </cfRule>
  </conditionalFormatting>
  <conditionalFormatting sqref="AG10:AS19">
    <cfRule type="expression" dxfId="36" priority="8">
      <formula>ROW(AE10)&lt;=income_max_row</formula>
    </cfRule>
  </conditionalFormatting>
  <conditionalFormatting sqref="AG33:AS42">
    <cfRule type="expression" dxfId="35" priority="6">
      <formula>ROW(AE33)&lt;=savings_max_row</formula>
    </cfRule>
  </conditionalFormatting>
  <pageMargins left="0.7" right="0.7" top="0.75" bottom="0.75" header="0.3" footer="0.3"/>
  <pageSetup paperSize="9" orientation="portrait" horizontalDpi="4294967292" verticalDpi="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B183-2112-4FF5-AC3F-A5D49E3B5D2E}">
  <dimension ref="B1:K357"/>
  <sheetViews>
    <sheetView showGridLines="0" topLeftCell="A307" workbookViewId="0">
      <selection activeCell="K354" sqref="K354"/>
    </sheetView>
  </sheetViews>
  <sheetFormatPr defaultRowHeight="14.5" x14ac:dyDescent="0.35"/>
  <cols>
    <col min="1" max="1" width="4.26953125" customWidth="1"/>
    <col min="2" max="2" width="2.1796875" customWidth="1"/>
    <col min="3" max="4" width="15.6328125" customWidth="1"/>
    <col min="5" max="5" width="17.08984375" bestFit="1" customWidth="1"/>
    <col min="6" max="6" width="15.6328125" customWidth="1"/>
    <col min="7" max="7" width="37.36328125" customWidth="1"/>
    <col min="8" max="8" width="18.54296875" customWidth="1"/>
    <col min="9" max="9" width="14.7265625" bestFit="1" customWidth="1"/>
  </cols>
  <sheetData>
    <row r="1" spans="2:11" s="1" customFormat="1" ht="14.5" customHeight="1" x14ac:dyDescent="0.35">
      <c r="B1" s="103" t="s">
        <v>21</v>
      </c>
      <c r="C1" s="103"/>
      <c r="D1" s="103"/>
      <c r="E1" s="103"/>
    </row>
    <row r="2" spans="2:11" s="1" customFormat="1" ht="14.5" customHeight="1" x14ac:dyDescent="0.35">
      <c r="B2" s="103"/>
      <c r="C2" s="103"/>
      <c r="D2" s="103"/>
      <c r="E2" s="103"/>
    </row>
    <row r="3" spans="2:11" s="1" customFormat="1" ht="14.5" customHeight="1" x14ac:dyDescent="0.35">
      <c r="B3" s="103"/>
      <c r="C3" s="103"/>
      <c r="D3" s="103"/>
      <c r="E3" s="103"/>
    </row>
    <row r="11" spans="2:11" x14ac:dyDescent="0.35">
      <c r="C11" s="25" t="s">
        <v>22</v>
      </c>
      <c r="D11" s="25" t="s">
        <v>23</v>
      </c>
      <c r="E11" s="25" t="s">
        <v>24</v>
      </c>
      <c r="F11" s="25" t="s">
        <v>25</v>
      </c>
      <c r="G11" s="25" t="s">
        <v>26</v>
      </c>
      <c r="H11" s="29" t="s">
        <v>27</v>
      </c>
      <c r="I11" s="29" t="s">
        <v>28</v>
      </c>
    </row>
    <row r="12" spans="2:11" x14ac:dyDescent="0.35">
      <c r="C12" s="27">
        <v>45658</v>
      </c>
      <c r="D12" s="26" t="s">
        <v>4</v>
      </c>
      <c r="E12" s="26" t="s">
        <v>10</v>
      </c>
      <c r="F12" s="98">
        <v>10</v>
      </c>
      <c r="G12" s="28" t="s">
        <v>108</v>
      </c>
      <c r="H12" s="30" cm="1">
        <f t="array" ref="H12">SUMPRODUCT(Tracking[Amount], --(Tracking[Date]&lt;=Tracking[[#This Row],[Date]]), (Tracking[Type]&lt;&gt;"Income")*(-1)+(Tracking[Type]="Income"))</f>
        <v>-823.59</v>
      </c>
      <c r="I12" s="36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45658</v>
      </c>
      <c r="K12" s="58"/>
    </row>
    <row r="13" spans="2:11" x14ac:dyDescent="0.35">
      <c r="C13" s="27">
        <v>45666</v>
      </c>
      <c r="D13" s="26" t="s">
        <v>4</v>
      </c>
      <c r="E13" s="26" t="s">
        <v>7</v>
      </c>
      <c r="F13" s="99">
        <v>1906.88</v>
      </c>
      <c r="G13" s="28" t="s">
        <v>108</v>
      </c>
      <c r="H13" s="30" cm="1">
        <f t="array" ref="H13">SUMPRODUCT(Tracking[Amount], --(Tracking[Date]&lt;=Tracking[[#This Row],[Date]]), (Tracking[Type]&lt;&gt;"Income")*(-1)+(Tracking[Type]="Income"))</f>
        <v>3776.2500000000009</v>
      </c>
      <c r="I1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45666</v>
      </c>
    </row>
    <row r="14" spans="2:11" x14ac:dyDescent="0.35">
      <c r="C14" s="27">
        <v>45658</v>
      </c>
      <c r="D14" s="26" t="s">
        <v>11</v>
      </c>
      <c r="E14" s="26" t="s">
        <v>13</v>
      </c>
      <c r="F14" s="99">
        <v>833.59</v>
      </c>
      <c r="G14" s="28" t="s">
        <v>107</v>
      </c>
      <c r="H14" s="102" cm="1">
        <f t="array" ref="H14">SUMPRODUCT(Tracking[Amount], --(Tracking[Date]&lt;=Tracking[[#This Row],[Date]]), (Tracking[Type]&lt;&gt;"Income")*(-1)+(Tracking[Type]="Income"))</f>
        <v>-823.59</v>
      </c>
      <c r="I1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45658</v>
      </c>
    </row>
    <row r="15" spans="2:11" x14ac:dyDescent="0.35">
      <c r="C15" s="27">
        <v>45659</v>
      </c>
      <c r="D15" s="26" t="s">
        <v>4</v>
      </c>
      <c r="E15" s="26" t="s">
        <v>9</v>
      </c>
      <c r="F15" s="99">
        <v>37.94</v>
      </c>
      <c r="G15" s="28" t="s">
        <v>107</v>
      </c>
      <c r="H15" s="102" cm="1">
        <f t="array" ref="H15">SUMPRODUCT(Tracking[Amount], --(Tracking[Date]&lt;=Tracking[[#This Row],[Date]]), (Tracking[Type]&lt;&gt;"Income")*(-1)+(Tracking[Type]="Income"))</f>
        <v>-1171.1400000000001</v>
      </c>
      <c r="I1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45659</v>
      </c>
    </row>
    <row r="16" spans="2:11" x14ac:dyDescent="0.35">
      <c r="C16" s="27">
        <v>45659</v>
      </c>
      <c r="D16" s="26" t="s">
        <v>4</v>
      </c>
      <c r="E16" s="26" t="s">
        <v>10</v>
      </c>
      <c r="F16" s="99">
        <v>57.38</v>
      </c>
      <c r="G16" s="28" t="s">
        <v>107</v>
      </c>
      <c r="H16" s="102" cm="1">
        <f t="array" ref="H16">SUMPRODUCT(Tracking[Amount], --(Tracking[Date]&lt;=Tracking[[#This Row],[Date]]), (Tracking[Type]&lt;&gt;"Income")*(-1)+(Tracking[Type]="Income"))</f>
        <v>-1171.1400000000001</v>
      </c>
      <c r="I1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45659</v>
      </c>
    </row>
    <row r="17" spans="3:9" x14ac:dyDescent="0.35">
      <c r="C17" s="27">
        <v>45659</v>
      </c>
      <c r="D17" s="26" t="s">
        <v>15</v>
      </c>
      <c r="E17" s="26" t="s">
        <v>17</v>
      </c>
      <c r="F17" s="99">
        <v>442.87</v>
      </c>
      <c r="G17" s="28" t="s">
        <v>107</v>
      </c>
      <c r="H17" s="102" cm="1">
        <f t="array" ref="H17">SUMPRODUCT(Tracking[Amount], --(Tracking[Date]&lt;=Tracking[[#This Row],[Date]]), (Tracking[Type]&lt;&gt;"Income")*(-1)+(Tracking[Type]="Income"))</f>
        <v>-1171.1400000000001</v>
      </c>
      <c r="I1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45659</v>
      </c>
    </row>
    <row r="18" spans="3:9" x14ac:dyDescent="0.35">
      <c r="C18" s="27">
        <v>45660</v>
      </c>
      <c r="D18" s="26" t="s">
        <v>11</v>
      </c>
      <c r="E18" s="26" t="s">
        <v>103</v>
      </c>
      <c r="F18" s="99">
        <v>212.72</v>
      </c>
      <c r="G18" s="28" t="s">
        <v>107</v>
      </c>
      <c r="H18" s="102" cm="1">
        <f t="array" ref="H18">SUMPRODUCT(Tracking[Amount], --(Tracking[Date]&lt;=Tracking[[#This Row],[Date]]), (Tracking[Type]&lt;&gt;"Income")*(-1)+(Tracking[Type]="Income"))</f>
        <v>-1383.8600000000001</v>
      </c>
      <c r="I1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45660</v>
      </c>
    </row>
    <row r="19" spans="3:9" x14ac:dyDescent="0.35">
      <c r="C19" s="27">
        <v>45662</v>
      </c>
      <c r="D19" s="26" t="s">
        <v>11</v>
      </c>
      <c r="E19" s="26" t="s">
        <v>10</v>
      </c>
      <c r="F19" s="99">
        <v>93.89</v>
      </c>
      <c r="G19" s="28" t="s">
        <v>107</v>
      </c>
      <c r="H19" s="102" cm="1">
        <f t="array" ref="H19">SUMPRODUCT(Tracking[Amount], --(Tracking[Date]&lt;=Tracking[[#This Row],[Date]]), (Tracking[Type]&lt;&gt;"Income")*(-1)+(Tracking[Type]="Income"))</f>
        <v>-5724.24</v>
      </c>
      <c r="I1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45662</v>
      </c>
    </row>
    <row r="20" spans="3:9" x14ac:dyDescent="0.35">
      <c r="C20" s="27">
        <v>45662</v>
      </c>
      <c r="D20" s="26" t="s">
        <v>11</v>
      </c>
      <c r="E20" s="26" t="s">
        <v>10</v>
      </c>
      <c r="F20" s="99">
        <v>46.49</v>
      </c>
      <c r="G20" s="28" t="s">
        <v>107</v>
      </c>
      <c r="H20" s="102" cm="1">
        <f t="array" ref="H20">SUMPRODUCT(Tracking[Amount], --(Tracking[Date]&lt;=Tracking[[#This Row],[Date]]), (Tracking[Type]&lt;&gt;"Income")*(-1)+(Tracking[Type]="Income"))</f>
        <v>-5724.24</v>
      </c>
      <c r="I2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45662</v>
      </c>
    </row>
    <row r="21" spans="3:9" x14ac:dyDescent="0.35">
      <c r="C21" s="27">
        <v>45662</v>
      </c>
      <c r="D21" s="26" t="s">
        <v>11</v>
      </c>
      <c r="E21" s="26" t="s">
        <v>12</v>
      </c>
      <c r="F21" s="99">
        <v>4200</v>
      </c>
      <c r="G21" s="28" t="s">
        <v>107</v>
      </c>
      <c r="H21" s="102" cm="1">
        <f t="array" ref="H21">SUMPRODUCT(Tracking[Amount], --(Tracking[Date]&lt;=Tracking[[#This Row],[Date]]), (Tracking[Type]&lt;&gt;"Income")*(-1)+(Tracking[Type]="Income"))</f>
        <v>-5724.24</v>
      </c>
      <c r="I2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45662</v>
      </c>
    </row>
    <row r="22" spans="3:9" x14ac:dyDescent="0.35">
      <c r="C22" s="27">
        <v>45663</v>
      </c>
      <c r="D22" s="26" t="s">
        <v>11</v>
      </c>
      <c r="E22" s="26" t="s">
        <v>13</v>
      </c>
      <c r="F22" s="99">
        <v>666.41</v>
      </c>
      <c r="G22" s="28" t="s">
        <v>107</v>
      </c>
      <c r="H22" s="102" cm="1">
        <f t="array" ref="H22">SUMPRODUCT(Tracking[Amount], --(Tracking[Date]&lt;=Tracking[[#This Row],[Date]]), (Tracking[Type]&lt;&gt;"Income")*(-1)+(Tracking[Type]="Income"))</f>
        <v>-6390.65</v>
      </c>
      <c r="I2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45663</v>
      </c>
    </row>
    <row r="23" spans="3:9" x14ac:dyDescent="0.35">
      <c r="C23" s="27">
        <v>45664</v>
      </c>
      <c r="D23" s="26" t="s">
        <v>15</v>
      </c>
      <c r="E23" s="26" t="s">
        <v>18</v>
      </c>
      <c r="F23" s="99">
        <v>239.98</v>
      </c>
      <c r="G23" s="28" t="s">
        <v>107</v>
      </c>
      <c r="H23" s="102" cm="1">
        <f t="array" ref="H23">SUMPRODUCT(Tracking[Amount], --(Tracking[Date]&lt;=Tracking[[#This Row],[Date]]), (Tracking[Type]&lt;&gt;"Income")*(-1)+(Tracking[Type]="Income"))</f>
        <v>-6630.6299999999992</v>
      </c>
      <c r="I2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45664</v>
      </c>
    </row>
    <row r="24" spans="3:9" x14ac:dyDescent="0.35">
      <c r="C24" s="27">
        <v>45666</v>
      </c>
      <c r="D24" s="26" t="s">
        <v>4</v>
      </c>
      <c r="E24" s="26" t="s">
        <v>7</v>
      </c>
      <c r="F24" s="99">
        <v>8500</v>
      </c>
      <c r="G24" s="28" t="s">
        <v>107</v>
      </c>
      <c r="H24" s="102" cm="1">
        <f t="array" ref="H24">SUMPRODUCT(Tracking[Amount], --(Tracking[Date]&lt;=Tracking[[#This Row],[Date]]), (Tracking[Type]&lt;&gt;"Income")*(-1)+(Tracking[Type]="Income"))</f>
        <v>3776.2500000000009</v>
      </c>
      <c r="I2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45666</v>
      </c>
    </row>
    <row r="25" spans="3:9" x14ac:dyDescent="0.35">
      <c r="C25" s="27">
        <v>45667</v>
      </c>
      <c r="D25" s="26" t="s">
        <v>15</v>
      </c>
      <c r="E25" s="26" t="s">
        <v>16</v>
      </c>
      <c r="F25" s="99">
        <v>1200</v>
      </c>
      <c r="G25" s="28" t="s">
        <v>107</v>
      </c>
      <c r="H25" s="102" cm="1">
        <f t="array" ref="H25">SUMPRODUCT(Tracking[Amount], --(Tracking[Date]&lt;=Tracking[[#This Row],[Date]]), (Tracking[Type]&lt;&gt;"Income")*(-1)+(Tracking[Type]="Income"))</f>
        <v>2576.2500000000009</v>
      </c>
      <c r="I2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45667</v>
      </c>
    </row>
    <row r="26" spans="3:9" x14ac:dyDescent="0.35">
      <c r="C26" s="27">
        <v>45668</v>
      </c>
      <c r="D26" s="26" t="s">
        <v>11</v>
      </c>
      <c r="E26" s="26" t="s">
        <v>104</v>
      </c>
      <c r="F26" s="99">
        <v>150</v>
      </c>
      <c r="G26" s="28" t="s">
        <v>107</v>
      </c>
      <c r="H26" s="102" cm="1">
        <f t="array" ref="H26">SUMPRODUCT(Tracking[Amount], --(Tracking[Date]&lt;=Tracking[[#This Row],[Date]]), (Tracking[Type]&lt;&gt;"Income")*(-1)+(Tracking[Type]="Income"))</f>
        <v>2426.2500000000009</v>
      </c>
      <c r="I2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45668</v>
      </c>
    </row>
    <row r="27" spans="3:9" x14ac:dyDescent="0.35">
      <c r="C27" s="27">
        <v>45670</v>
      </c>
      <c r="D27" s="26" t="s">
        <v>11</v>
      </c>
      <c r="E27" s="26" t="s">
        <v>103</v>
      </c>
      <c r="F27" s="99">
        <v>187.28</v>
      </c>
      <c r="G27" s="28" t="s">
        <v>107</v>
      </c>
      <c r="H27" s="102" cm="1">
        <f t="array" ref="H27">SUMPRODUCT(Tracking[Amount], --(Tracking[Date]&lt;=Tracking[[#This Row],[Date]]), (Tracking[Type]&lt;&gt;"Income")*(-1)+(Tracking[Type]="Income"))</f>
        <v>2238.9700000000007</v>
      </c>
      <c r="I2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45670</v>
      </c>
    </row>
    <row r="28" spans="3:9" x14ac:dyDescent="0.35">
      <c r="C28" s="27">
        <v>45674</v>
      </c>
      <c r="D28" s="26" t="s">
        <v>15</v>
      </c>
      <c r="E28" s="26" t="s">
        <v>10</v>
      </c>
      <c r="F28" s="99">
        <v>98.61</v>
      </c>
      <c r="G28" s="28" t="s">
        <v>107</v>
      </c>
      <c r="H28" s="102" cm="1">
        <f t="array" ref="H28">SUMPRODUCT(Tracking[Amount], --(Tracking[Date]&lt;=Tracking[[#This Row],[Date]]), (Tracking[Type]&lt;&gt;"Income")*(-1)+(Tracking[Type]="Income"))</f>
        <v>2140.3600000000006</v>
      </c>
      <c r="I2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45674</v>
      </c>
    </row>
    <row r="29" spans="3:9" x14ac:dyDescent="0.35">
      <c r="C29" s="27">
        <v>45678</v>
      </c>
      <c r="D29" s="26" t="s">
        <v>15</v>
      </c>
      <c r="E29" s="26" t="s">
        <v>10</v>
      </c>
      <c r="F29" s="99">
        <v>1.39</v>
      </c>
      <c r="G29" s="28" t="s">
        <v>107</v>
      </c>
      <c r="H29" s="102" cm="1">
        <f t="array" ref="H29">SUMPRODUCT(Tracking[Amount], --(Tracking[Date]&lt;=Tracking[[#This Row],[Date]]), (Tracking[Type]&lt;&gt;"Income")*(-1)+(Tracking[Type]="Income"))</f>
        <v>2138.9700000000007</v>
      </c>
      <c r="I2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45678</v>
      </c>
    </row>
    <row r="30" spans="3:9" x14ac:dyDescent="0.35">
      <c r="C30" s="27">
        <v>45682</v>
      </c>
      <c r="D30" s="26" t="s">
        <v>4</v>
      </c>
      <c r="E30" s="26" t="s">
        <v>8</v>
      </c>
      <c r="F30" s="99">
        <v>1200</v>
      </c>
      <c r="G30" s="28" t="s">
        <v>107</v>
      </c>
      <c r="H30" s="102" cm="1">
        <f t="array" ref="H30">SUMPRODUCT(Tracking[Amount], --(Tracking[Date]&lt;=Tracking[[#This Row],[Date]]), (Tracking[Type]&lt;&gt;"Income")*(-1)+(Tracking[Type]="Income"))</f>
        <v>3338.9700000000007</v>
      </c>
      <c r="I3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45689</v>
      </c>
    </row>
    <row r="31" spans="3:9" x14ac:dyDescent="0.35">
      <c r="C31" s="27">
        <v>45683</v>
      </c>
      <c r="D31" s="26" t="s">
        <v>11</v>
      </c>
      <c r="E31" s="26" t="s">
        <v>10</v>
      </c>
      <c r="F31" s="99">
        <v>9.6199999999999992</v>
      </c>
      <c r="G31" s="28" t="s">
        <v>107</v>
      </c>
      <c r="H31" s="102" cm="1">
        <f t="array" ref="H31">SUMPRODUCT(Tracking[Amount], --(Tracking[Date]&lt;=Tracking[[#This Row],[Date]]), (Tracking[Type]&lt;&gt;"Income")*(-1)+(Tracking[Type]="Income"))</f>
        <v>3329.3500000000008</v>
      </c>
      <c r="I3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45683</v>
      </c>
    </row>
    <row r="32" spans="3:9" x14ac:dyDescent="0.35">
      <c r="C32" s="27">
        <v>45684</v>
      </c>
      <c r="D32" s="26" t="s">
        <v>15</v>
      </c>
      <c r="E32" s="26" t="s">
        <v>18</v>
      </c>
      <c r="F32" s="99">
        <v>560.02</v>
      </c>
      <c r="G32" s="28" t="s">
        <v>107</v>
      </c>
      <c r="H32" s="102" cm="1">
        <f t="array" ref="H32">SUMPRODUCT(Tracking[Amount], --(Tracking[Date]&lt;=Tracking[[#This Row],[Date]]), (Tracking[Type]&lt;&gt;"Income")*(-1)+(Tracking[Type]="Income"))</f>
        <v>1812.2000000000007</v>
      </c>
      <c r="I3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45684</v>
      </c>
    </row>
    <row r="33" spans="3:9" x14ac:dyDescent="0.35">
      <c r="C33" s="27">
        <v>45684</v>
      </c>
      <c r="D33" s="26" t="s">
        <v>15</v>
      </c>
      <c r="E33" s="26" t="s">
        <v>17</v>
      </c>
      <c r="F33" s="99">
        <v>957.13</v>
      </c>
      <c r="G33" s="28" t="s">
        <v>107</v>
      </c>
      <c r="H33" s="102" cm="1">
        <f t="array" ref="H33">SUMPRODUCT(Tracking[Amount], --(Tracking[Date]&lt;=Tracking[[#This Row],[Date]]), (Tracking[Type]&lt;&gt;"Income")*(-1)+(Tracking[Type]="Income"))</f>
        <v>1812.2000000000007</v>
      </c>
      <c r="I3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45684</v>
      </c>
    </row>
    <row r="34" spans="3:9" x14ac:dyDescent="0.35">
      <c r="C34" s="27">
        <v>45685</v>
      </c>
      <c r="D34" s="26" t="s">
        <v>4</v>
      </c>
      <c r="E34" s="26" t="s">
        <v>10</v>
      </c>
      <c r="F34" s="99">
        <v>92.62</v>
      </c>
      <c r="G34" s="28" t="s">
        <v>107</v>
      </c>
      <c r="H34" s="102" cm="1">
        <f t="array" ref="H34">SUMPRODUCT(Tracking[Amount], --(Tracking[Date]&lt;=Tracking[[#This Row],[Date]]), (Tracking[Type]&lt;&gt;"Income")*(-1)+(Tracking[Type]="Income"))</f>
        <v>1916.8800000000006</v>
      </c>
      <c r="I3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45689</v>
      </c>
    </row>
    <row r="35" spans="3:9" x14ac:dyDescent="0.35">
      <c r="C35" s="27">
        <v>45685</v>
      </c>
      <c r="D35" s="26" t="s">
        <v>4</v>
      </c>
      <c r="E35" s="26" t="s">
        <v>9</v>
      </c>
      <c r="F35" s="99">
        <v>12.06</v>
      </c>
      <c r="G35" s="28" t="s">
        <v>107</v>
      </c>
      <c r="H35" s="102" cm="1">
        <f t="array" ref="H35">SUMPRODUCT(Tracking[Amount], --(Tracking[Date]&lt;=Tracking[[#This Row],[Date]]), (Tracking[Type]&lt;&gt;"Income")*(-1)+(Tracking[Type]="Income"))</f>
        <v>1916.8800000000006</v>
      </c>
      <c r="I3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45689</v>
      </c>
    </row>
    <row r="36" spans="3:9" x14ac:dyDescent="0.35">
      <c r="C36" s="27">
        <v>45690</v>
      </c>
      <c r="D36" s="26" t="s">
        <v>4</v>
      </c>
      <c r="E36" s="26" t="s">
        <v>8</v>
      </c>
      <c r="F36" s="99">
        <v>803.2</v>
      </c>
      <c r="G36" s="28" t="s">
        <v>107</v>
      </c>
      <c r="H36" s="102" cm="1">
        <f t="array" ref="H36">SUMPRODUCT(Tracking[Amount], --(Tracking[Date]&lt;=Tracking[[#This Row],[Date]]), (Tracking[Type]&lt;&gt;"Income")*(-1)+(Tracking[Type]="Income"))</f>
        <v>2720.0800000000008</v>
      </c>
      <c r="I3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45690</v>
      </c>
    </row>
    <row r="37" spans="3:9" x14ac:dyDescent="0.35">
      <c r="C37" s="27">
        <v>45691</v>
      </c>
      <c r="D37" s="26" t="s">
        <v>11</v>
      </c>
      <c r="E37" s="26" t="s">
        <v>13</v>
      </c>
      <c r="F37" s="99">
        <v>329.92</v>
      </c>
      <c r="G37" s="28" t="s">
        <v>107</v>
      </c>
      <c r="H37" s="102" cm="1">
        <f t="array" ref="H37">SUMPRODUCT(Tracking[Amount], --(Tracking[Date]&lt;=Tracking[[#This Row],[Date]]), (Tracking[Type]&lt;&gt;"Income")*(-1)+(Tracking[Type]="Income"))</f>
        <v>2390.1600000000008</v>
      </c>
      <c r="I3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45691</v>
      </c>
    </row>
    <row r="38" spans="3:9" x14ac:dyDescent="0.35">
      <c r="C38" s="27">
        <v>45695</v>
      </c>
      <c r="D38" s="26" t="s">
        <v>11</v>
      </c>
      <c r="E38" s="26" t="s">
        <v>103</v>
      </c>
      <c r="F38" s="99">
        <v>220.63</v>
      </c>
      <c r="G38" s="28" t="s">
        <v>107</v>
      </c>
      <c r="H38" s="102" cm="1">
        <f t="array" ref="H38">SUMPRODUCT(Tracking[Amount], --(Tracking[Date]&lt;=Tracking[[#This Row],[Date]]), (Tracking[Type]&lt;&gt;"Income")*(-1)+(Tracking[Type]="Income"))</f>
        <v>2169.5300000000007</v>
      </c>
      <c r="I3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45695</v>
      </c>
    </row>
    <row r="39" spans="3:9" x14ac:dyDescent="0.35">
      <c r="C39" s="27">
        <v>45701</v>
      </c>
      <c r="D39" s="26" t="s">
        <v>11</v>
      </c>
      <c r="E39" s="26" t="s">
        <v>10</v>
      </c>
      <c r="F39" s="99">
        <v>24.16</v>
      </c>
      <c r="G39" s="28" t="s">
        <v>107</v>
      </c>
      <c r="H39" s="102" cm="1">
        <f t="array" ref="H39">SUMPRODUCT(Tracking[Amount], --(Tracking[Date]&lt;=Tracking[[#This Row],[Date]]), (Tracking[Type]&lt;&gt;"Income")*(-1)+(Tracking[Type]="Income"))</f>
        <v>2145.3700000000008</v>
      </c>
      <c r="I3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45701</v>
      </c>
    </row>
    <row r="40" spans="3:9" x14ac:dyDescent="0.35">
      <c r="C40" s="27">
        <v>45703</v>
      </c>
      <c r="D40" s="26" t="s">
        <v>15</v>
      </c>
      <c r="E40" s="26" t="s">
        <v>10</v>
      </c>
      <c r="F40" s="99">
        <v>27.11</v>
      </c>
      <c r="G40" s="28" t="s">
        <v>107</v>
      </c>
      <c r="H40" s="102" cm="1">
        <f t="array" ref="H40">SUMPRODUCT(Tracking[Amount], --(Tracking[Date]&lt;=Tracking[[#This Row],[Date]]), (Tracking[Type]&lt;&gt;"Income")*(-1)+(Tracking[Type]="Income"))</f>
        <v>1420.0800000000008</v>
      </c>
      <c r="I4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45703</v>
      </c>
    </row>
    <row r="41" spans="3:9" x14ac:dyDescent="0.35">
      <c r="C41" s="27">
        <v>45703</v>
      </c>
      <c r="D41" s="26" t="s">
        <v>11</v>
      </c>
      <c r="E41" s="26" t="s">
        <v>13</v>
      </c>
      <c r="F41" s="99">
        <v>698.18</v>
      </c>
      <c r="G41" s="28" t="s">
        <v>107</v>
      </c>
      <c r="H41" s="102" cm="1">
        <f t="array" ref="H41">SUMPRODUCT(Tracking[Amount], --(Tracking[Date]&lt;=Tracking[[#This Row],[Date]]), (Tracking[Type]&lt;&gt;"Income")*(-1)+(Tracking[Type]="Income"))</f>
        <v>1420.0800000000008</v>
      </c>
      <c r="I4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45703</v>
      </c>
    </row>
    <row r="42" spans="3:9" x14ac:dyDescent="0.35">
      <c r="C42" s="27">
        <v>45704</v>
      </c>
      <c r="D42" s="26" t="s">
        <v>11</v>
      </c>
      <c r="E42" s="26" t="s">
        <v>12</v>
      </c>
      <c r="F42" s="99">
        <v>4200</v>
      </c>
      <c r="G42" s="28" t="s">
        <v>107</v>
      </c>
      <c r="H42" s="102" cm="1">
        <f t="array" ref="H42">SUMPRODUCT(Tracking[Amount], --(Tracking[Date]&lt;=Tracking[[#This Row],[Date]]), (Tracking[Type]&lt;&gt;"Income")*(-1)+(Tracking[Type]="Income"))</f>
        <v>-2779.9199999999992</v>
      </c>
      <c r="I4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45704</v>
      </c>
    </row>
    <row r="43" spans="3:9" x14ac:dyDescent="0.35">
      <c r="C43" s="27">
        <v>45705</v>
      </c>
      <c r="D43" s="26" t="s">
        <v>4</v>
      </c>
      <c r="E43" s="26" t="s">
        <v>8</v>
      </c>
      <c r="F43" s="99">
        <v>996.8</v>
      </c>
      <c r="G43" s="28" t="s">
        <v>107</v>
      </c>
      <c r="H43" s="102" cm="1">
        <f t="array" ref="H43">SUMPRODUCT(Tracking[Amount], --(Tracking[Date]&lt;=Tracking[[#This Row],[Date]]), (Tracking[Type]&lt;&gt;"Income")*(-1)+(Tracking[Type]="Income"))</f>
        <v>-1849.4099999999992</v>
      </c>
      <c r="I4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45705</v>
      </c>
    </row>
    <row r="44" spans="3:9" x14ac:dyDescent="0.35">
      <c r="C44" s="27">
        <v>45705</v>
      </c>
      <c r="D44" s="26" t="s">
        <v>11</v>
      </c>
      <c r="E44" s="26" t="s">
        <v>10</v>
      </c>
      <c r="F44" s="99">
        <v>66.290000000000006</v>
      </c>
      <c r="G44" s="28" t="s">
        <v>107</v>
      </c>
      <c r="H44" s="102" cm="1">
        <f t="array" ref="H44">SUMPRODUCT(Tracking[Amount], --(Tracking[Date]&lt;=Tracking[[#This Row],[Date]]), (Tracking[Type]&lt;&gt;"Income")*(-1)+(Tracking[Type]="Income"))</f>
        <v>-1849.4099999999992</v>
      </c>
      <c r="I4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45705</v>
      </c>
    </row>
    <row r="45" spans="3:9" x14ac:dyDescent="0.35">
      <c r="C45" s="27">
        <v>45706</v>
      </c>
      <c r="D45" s="26" t="s">
        <v>15</v>
      </c>
      <c r="E45" s="26" t="s">
        <v>10</v>
      </c>
      <c r="F45" s="99">
        <v>172.89</v>
      </c>
      <c r="G45" s="28" t="s">
        <v>107</v>
      </c>
      <c r="H45" s="102" cm="1">
        <f t="array" ref="H45">SUMPRODUCT(Tracking[Amount], --(Tracking[Date]&lt;=Tracking[[#This Row],[Date]]), (Tracking[Type]&lt;&gt;"Income")*(-1)+(Tracking[Type]="Income"))</f>
        <v>-2981.8499999999995</v>
      </c>
      <c r="I4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45706</v>
      </c>
    </row>
    <row r="46" spans="3:9" x14ac:dyDescent="0.35">
      <c r="C46" s="27">
        <v>45706</v>
      </c>
      <c r="D46" s="26" t="s">
        <v>15</v>
      </c>
      <c r="E46" s="26" t="s">
        <v>18</v>
      </c>
      <c r="F46" s="99">
        <v>900</v>
      </c>
      <c r="G46" s="28" t="s">
        <v>107</v>
      </c>
      <c r="H46" s="102" cm="1">
        <f t="array" ref="H46">SUMPRODUCT(Tracking[Amount], --(Tracking[Date]&lt;=Tracking[[#This Row],[Date]]), (Tracking[Type]&lt;&gt;"Income")*(-1)+(Tracking[Type]="Income"))</f>
        <v>-2981.8499999999995</v>
      </c>
      <c r="I4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45706</v>
      </c>
    </row>
    <row r="47" spans="3:9" x14ac:dyDescent="0.35">
      <c r="C47" s="27">
        <v>45706</v>
      </c>
      <c r="D47" s="26" t="s">
        <v>11</v>
      </c>
      <c r="E47" s="26" t="s">
        <v>10</v>
      </c>
      <c r="F47" s="99">
        <v>59.55</v>
      </c>
      <c r="G47" s="28" t="s">
        <v>107</v>
      </c>
      <c r="H47" s="102" cm="1">
        <f t="array" ref="H47">SUMPRODUCT(Tracking[Amount], --(Tracking[Date]&lt;=Tracking[[#This Row],[Date]]), (Tracking[Type]&lt;&gt;"Income")*(-1)+(Tracking[Type]="Income"))</f>
        <v>-2981.8499999999995</v>
      </c>
      <c r="I4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45706</v>
      </c>
    </row>
    <row r="48" spans="3:9" x14ac:dyDescent="0.35">
      <c r="C48" s="27">
        <v>45707</v>
      </c>
      <c r="D48" s="26" t="s">
        <v>11</v>
      </c>
      <c r="E48" s="26" t="s">
        <v>103</v>
      </c>
      <c r="F48" s="99">
        <v>129.37</v>
      </c>
      <c r="G48" s="28" t="s">
        <v>107</v>
      </c>
      <c r="H48" s="102" cm="1">
        <f t="array" ref="H48">SUMPRODUCT(Tracking[Amount], --(Tracking[Date]&lt;=Tracking[[#This Row],[Date]]), (Tracking[Type]&lt;&gt;"Income")*(-1)+(Tracking[Type]="Income"))</f>
        <v>-3111.2199999999993</v>
      </c>
      <c r="I4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45707</v>
      </c>
    </row>
    <row r="49" spans="3:9" x14ac:dyDescent="0.35">
      <c r="C49" s="27">
        <v>45708</v>
      </c>
      <c r="D49" s="26" t="s">
        <v>4</v>
      </c>
      <c r="E49" s="26" t="s">
        <v>7</v>
      </c>
      <c r="F49" s="99">
        <v>4100.7</v>
      </c>
      <c r="G49" s="28" t="s">
        <v>107</v>
      </c>
      <c r="H49" s="102" cm="1">
        <f t="array" ref="H49">SUMPRODUCT(Tracking[Amount], --(Tracking[Date]&lt;=Tracking[[#This Row],[Date]]), (Tracking[Type]&lt;&gt;"Income")*(-1)+(Tracking[Type]="Income"))</f>
        <v>989.48000000000047</v>
      </c>
      <c r="I4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45717</v>
      </c>
    </row>
    <row r="50" spans="3:9" x14ac:dyDescent="0.35">
      <c r="C50" s="27">
        <v>45709</v>
      </c>
      <c r="D50" s="26" t="s">
        <v>15</v>
      </c>
      <c r="E50" s="26" t="s">
        <v>16</v>
      </c>
      <c r="F50" s="99">
        <v>1200</v>
      </c>
      <c r="G50" s="28" t="s">
        <v>107</v>
      </c>
      <c r="H50" s="102" cm="1">
        <f t="array" ref="H50">SUMPRODUCT(Tracking[Amount], --(Tracking[Date]&lt;=Tracking[[#This Row],[Date]]), (Tracking[Type]&lt;&gt;"Income")*(-1)+(Tracking[Type]="Income"))</f>
        <v>-920.44999999999948</v>
      </c>
      <c r="I5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45709</v>
      </c>
    </row>
    <row r="51" spans="3:9" x14ac:dyDescent="0.35">
      <c r="C51" s="27">
        <v>45709</v>
      </c>
      <c r="D51" s="26" t="s">
        <v>15</v>
      </c>
      <c r="E51" s="26" t="s">
        <v>17</v>
      </c>
      <c r="F51" s="99">
        <v>709.93</v>
      </c>
      <c r="G51" s="28" t="s">
        <v>107</v>
      </c>
      <c r="H51" s="102" cm="1">
        <f t="array" ref="H51">SUMPRODUCT(Tracking[Amount], --(Tracking[Date]&lt;=Tracking[[#This Row],[Date]]), (Tracking[Type]&lt;&gt;"Income")*(-1)+(Tracking[Type]="Income"))</f>
        <v>-920.44999999999948</v>
      </c>
      <c r="I5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45709</v>
      </c>
    </row>
    <row r="52" spans="3:9" x14ac:dyDescent="0.35">
      <c r="C52" s="27">
        <v>45710</v>
      </c>
      <c r="D52" s="26" t="s">
        <v>4</v>
      </c>
      <c r="E52" s="26" t="s">
        <v>7</v>
      </c>
      <c r="F52" s="99">
        <v>4399.3</v>
      </c>
      <c r="G52" s="28" t="s">
        <v>107</v>
      </c>
      <c r="H52" s="102" cm="1">
        <f t="array" ref="H52">SUMPRODUCT(Tracking[Amount], --(Tracking[Date]&lt;=Tracking[[#This Row],[Date]]), (Tracking[Type]&lt;&gt;"Income")*(-1)+(Tracking[Type]="Income"))</f>
        <v>3478.8500000000008</v>
      </c>
      <c r="I5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45717</v>
      </c>
    </row>
    <row r="53" spans="3:9" x14ac:dyDescent="0.35">
      <c r="C53" s="27">
        <v>45712</v>
      </c>
      <c r="D53" s="26" t="s">
        <v>11</v>
      </c>
      <c r="E53" s="26" t="s">
        <v>13</v>
      </c>
      <c r="F53" s="99">
        <v>421.9</v>
      </c>
      <c r="G53" s="28" t="s">
        <v>107</v>
      </c>
      <c r="H53" s="102" cm="1">
        <f t="array" ref="H53">SUMPRODUCT(Tracking[Amount], --(Tracking[Date]&lt;=Tracking[[#This Row],[Date]]), (Tracking[Type]&lt;&gt;"Income")*(-1)+(Tracking[Type]="Income"))</f>
        <v>2666.8800000000006</v>
      </c>
      <c r="I5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45712</v>
      </c>
    </row>
    <row r="54" spans="3:9" x14ac:dyDescent="0.35">
      <c r="C54" s="27">
        <v>45712</v>
      </c>
      <c r="D54" s="26" t="s">
        <v>15</v>
      </c>
      <c r="E54" s="26" t="s">
        <v>17</v>
      </c>
      <c r="F54" s="99">
        <v>690.07</v>
      </c>
      <c r="G54" s="28" t="s">
        <v>107</v>
      </c>
      <c r="H54" s="102" cm="1">
        <f t="array" ref="H54">SUMPRODUCT(Tracking[Amount], --(Tracking[Date]&lt;=Tracking[[#This Row],[Date]]), (Tracking[Type]&lt;&gt;"Income")*(-1)+(Tracking[Type]="Income"))</f>
        <v>2666.8800000000006</v>
      </c>
      <c r="I5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45712</v>
      </c>
    </row>
    <row r="55" spans="3:9" x14ac:dyDescent="0.35">
      <c r="C55" s="27">
        <v>45712</v>
      </c>
      <c r="D55" s="26" t="s">
        <v>4</v>
      </c>
      <c r="E55" s="26" t="s">
        <v>10</v>
      </c>
      <c r="F55" s="99">
        <v>300</v>
      </c>
      <c r="G55" s="28" t="s">
        <v>107</v>
      </c>
      <c r="H55" s="102" cm="1">
        <f t="array" ref="H55">SUMPRODUCT(Tracking[Amount], --(Tracking[Date]&lt;=Tracking[[#This Row],[Date]]), (Tracking[Type]&lt;&gt;"Income")*(-1)+(Tracking[Type]="Income"))</f>
        <v>2666.8800000000006</v>
      </c>
      <c r="I5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45717</v>
      </c>
    </row>
    <row r="56" spans="3:9" x14ac:dyDescent="0.35">
      <c r="C56" s="27">
        <v>45715</v>
      </c>
      <c r="D56" s="26" t="s">
        <v>11</v>
      </c>
      <c r="E56" s="26" t="s">
        <v>104</v>
      </c>
      <c r="F56" s="99">
        <v>150</v>
      </c>
      <c r="G56" s="28" t="s">
        <v>107</v>
      </c>
      <c r="H56" s="102" cm="1">
        <f t="array" ref="H56">SUMPRODUCT(Tracking[Amount], --(Tracking[Date]&lt;=Tracking[[#This Row],[Date]]), (Tracking[Type]&lt;&gt;"Income")*(-1)+(Tracking[Type]="Income"))</f>
        <v>2516.8800000000006</v>
      </c>
      <c r="I5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45715</v>
      </c>
    </row>
    <row r="57" spans="3:9" x14ac:dyDescent="0.35">
      <c r="C57" s="27">
        <v>45717</v>
      </c>
      <c r="D57" s="26" t="s">
        <v>4</v>
      </c>
      <c r="E57" s="26" t="s">
        <v>8</v>
      </c>
      <c r="F57" s="99">
        <v>2100</v>
      </c>
      <c r="G57" s="28" t="s">
        <v>107</v>
      </c>
      <c r="H57" s="102" cm="1">
        <f t="array" ref="H57">SUMPRODUCT(Tracking[Amount], --(Tracking[Date]&lt;=Tracking[[#This Row],[Date]]), (Tracking[Type]&lt;&gt;"Income")*(-1)+(Tracking[Type]="Income"))</f>
        <v>4616.880000000001</v>
      </c>
      <c r="I5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45717</v>
      </c>
    </row>
    <row r="58" spans="3:9" x14ac:dyDescent="0.35">
      <c r="C58" s="27">
        <v>45718</v>
      </c>
      <c r="D58" s="26" t="s">
        <v>11</v>
      </c>
      <c r="E58" s="26" t="s">
        <v>13</v>
      </c>
      <c r="F58" s="99">
        <v>756.59</v>
      </c>
      <c r="G58" s="28" t="s">
        <v>107</v>
      </c>
      <c r="H58" s="102" cm="1">
        <f t="array" ref="H58">SUMPRODUCT(Tracking[Amount], --(Tracking[Date]&lt;=Tracking[[#This Row],[Date]]), (Tracking[Type]&lt;&gt;"Income")*(-1)+(Tracking[Type]="Income"))</f>
        <v>3860.2900000000009</v>
      </c>
      <c r="I5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45718</v>
      </c>
    </row>
    <row r="59" spans="3:9" x14ac:dyDescent="0.35">
      <c r="C59" s="27">
        <v>45719</v>
      </c>
      <c r="D59" s="26" t="s">
        <v>11</v>
      </c>
      <c r="E59" s="26" t="s">
        <v>104</v>
      </c>
      <c r="F59" s="99">
        <v>17.12</v>
      </c>
      <c r="G59" s="28" t="s">
        <v>107</v>
      </c>
      <c r="H59" s="102" cm="1">
        <f t="array" ref="H59">SUMPRODUCT(Tracking[Amount], --(Tracking[Date]&lt;=Tracking[[#This Row],[Date]]), (Tracking[Type]&lt;&gt;"Income")*(-1)+(Tracking[Type]="Income"))</f>
        <v>3485.400000000001</v>
      </c>
      <c r="I5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45719</v>
      </c>
    </row>
    <row r="60" spans="3:9" x14ac:dyDescent="0.35">
      <c r="C60" s="27">
        <v>45719</v>
      </c>
      <c r="D60" s="26" t="s">
        <v>11</v>
      </c>
      <c r="E60" s="26" t="s">
        <v>103</v>
      </c>
      <c r="F60" s="99">
        <v>290</v>
      </c>
      <c r="G60" s="28" t="s">
        <v>107</v>
      </c>
      <c r="H60" s="102" cm="1">
        <f t="array" ref="H60">SUMPRODUCT(Tracking[Amount], --(Tracking[Date]&lt;=Tracking[[#This Row],[Date]]), (Tracking[Type]&lt;&gt;"Income")*(-1)+(Tracking[Type]="Income"))</f>
        <v>3485.400000000001</v>
      </c>
      <c r="I6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45719</v>
      </c>
    </row>
    <row r="61" spans="3:9" x14ac:dyDescent="0.35">
      <c r="C61" s="27">
        <v>45719</v>
      </c>
      <c r="D61" s="26" t="s">
        <v>11</v>
      </c>
      <c r="E61" s="26" t="s">
        <v>12</v>
      </c>
      <c r="F61" s="99">
        <v>67.77</v>
      </c>
      <c r="G61" s="28" t="s">
        <v>107</v>
      </c>
      <c r="H61" s="102" cm="1">
        <f t="array" ref="H61">SUMPRODUCT(Tracking[Amount], --(Tracking[Date]&lt;=Tracking[[#This Row],[Date]]), (Tracking[Type]&lt;&gt;"Income")*(-1)+(Tracking[Type]="Income"))</f>
        <v>3485.400000000001</v>
      </c>
      <c r="I6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45719</v>
      </c>
    </row>
    <row r="62" spans="3:9" x14ac:dyDescent="0.35">
      <c r="C62" s="27">
        <v>45721</v>
      </c>
      <c r="D62" s="26" t="s">
        <v>11</v>
      </c>
      <c r="E62" s="26" t="s">
        <v>10</v>
      </c>
      <c r="F62" s="99">
        <v>99.9</v>
      </c>
      <c r="G62" s="28" t="s">
        <v>107</v>
      </c>
      <c r="H62" s="102" cm="1">
        <f t="array" ref="H62">SUMPRODUCT(Tracking[Amount], --(Tracking[Date]&lt;=Tracking[[#This Row],[Date]]), (Tracking[Type]&lt;&gt;"Income")*(-1)+(Tracking[Type]="Income"))</f>
        <v>11620.49</v>
      </c>
      <c r="I6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45721</v>
      </c>
    </row>
    <row r="63" spans="3:9" x14ac:dyDescent="0.35">
      <c r="C63" s="27">
        <v>45721</v>
      </c>
      <c r="D63" s="26" t="s">
        <v>4</v>
      </c>
      <c r="E63" s="26" t="s">
        <v>7</v>
      </c>
      <c r="F63" s="99">
        <v>8312</v>
      </c>
      <c r="G63" s="28" t="s">
        <v>107</v>
      </c>
      <c r="H63" s="102" cm="1">
        <f t="array" ref="H63">SUMPRODUCT(Tracking[Amount], --(Tracking[Date]&lt;=Tracking[[#This Row],[Date]]), (Tracking[Type]&lt;&gt;"Income")*(-1)+(Tracking[Type]="Income"))</f>
        <v>11620.49</v>
      </c>
      <c r="I6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45721</v>
      </c>
    </row>
    <row r="64" spans="3:9" x14ac:dyDescent="0.35">
      <c r="C64" s="27">
        <v>45721</v>
      </c>
      <c r="D64" s="26" t="s">
        <v>11</v>
      </c>
      <c r="E64" s="26" t="s">
        <v>106</v>
      </c>
      <c r="F64" s="99">
        <v>77.010000000000005</v>
      </c>
      <c r="G64" s="28" t="s">
        <v>107</v>
      </c>
      <c r="H64" s="102" cm="1">
        <f t="array" ref="H64">SUMPRODUCT(Tracking[Amount], --(Tracking[Date]&lt;=Tracking[[#This Row],[Date]]), (Tracking[Type]&lt;&gt;"Income")*(-1)+(Tracking[Type]="Income"))</f>
        <v>11620.49</v>
      </c>
      <c r="I6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45721</v>
      </c>
    </row>
    <row r="65" spans="3:9" x14ac:dyDescent="0.35">
      <c r="C65" s="27">
        <v>45722</v>
      </c>
      <c r="D65" s="26" t="s">
        <v>11</v>
      </c>
      <c r="E65" s="26" t="s">
        <v>103</v>
      </c>
      <c r="F65" s="99">
        <v>151.93</v>
      </c>
      <c r="G65" s="28" t="s">
        <v>107</v>
      </c>
      <c r="H65" s="102" cm="1">
        <f t="array" ref="H65">SUMPRODUCT(Tracking[Amount], --(Tracking[Date]&lt;=Tracking[[#This Row],[Date]]), (Tracking[Type]&lt;&gt;"Income")*(-1)+(Tracking[Type]="Income"))</f>
        <v>11468.56</v>
      </c>
      <c r="I6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45722</v>
      </c>
    </row>
    <row r="66" spans="3:9" x14ac:dyDescent="0.35">
      <c r="C66" s="27">
        <v>45725</v>
      </c>
      <c r="D66" s="26" t="s">
        <v>11</v>
      </c>
      <c r="E66" s="26" t="s">
        <v>13</v>
      </c>
      <c r="F66" s="99">
        <v>533.04</v>
      </c>
      <c r="G66" s="28" t="s">
        <v>107</v>
      </c>
      <c r="H66" s="102" cm="1">
        <f t="array" ref="H66">SUMPRODUCT(Tracking[Amount], --(Tracking[Date]&lt;=Tracking[[#This Row],[Date]]), (Tracking[Type]&lt;&gt;"Income")*(-1)+(Tracking[Type]="Income"))</f>
        <v>10935.52</v>
      </c>
      <c r="I6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45725</v>
      </c>
    </row>
    <row r="67" spans="3:9" x14ac:dyDescent="0.35">
      <c r="C67" s="27">
        <v>45728</v>
      </c>
      <c r="D67" s="26" t="s">
        <v>4</v>
      </c>
      <c r="E67" s="26" t="s">
        <v>10</v>
      </c>
      <c r="F67" s="99">
        <v>999.42</v>
      </c>
      <c r="G67" s="28" t="s">
        <v>107</v>
      </c>
      <c r="H67" s="102" cm="1">
        <f t="array" ref="H67">SUMPRODUCT(Tracking[Amount], --(Tracking[Date]&lt;=Tracking[[#This Row],[Date]]), (Tracking[Type]&lt;&gt;"Income")*(-1)+(Tracking[Type]="Income"))</f>
        <v>10934.94</v>
      </c>
      <c r="I6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45728</v>
      </c>
    </row>
    <row r="68" spans="3:9" x14ac:dyDescent="0.35">
      <c r="C68" s="27">
        <v>45728</v>
      </c>
      <c r="D68" s="26" t="s">
        <v>15</v>
      </c>
      <c r="E68" s="26" t="s">
        <v>18</v>
      </c>
      <c r="F68" s="99">
        <v>1000</v>
      </c>
      <c r="G68" s="28" t="s">
        <v>107</v>
      </c>
      <c r="H68" s="102" cm="1">
        <f t="array" ref="H68">SUMPRODUCT(Tracking[Amount], --(Tracking[Date]&lt;=Tracking[[#This Row],[Date]]), (Tracking[Type]&lt;&gt;"Income")*(-1)+(Tracking[Type]="Income"))</f>
        <v>10934.94</v>
      </c>
      <c r="I6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45728</v>
      </c>
    </row>
    <row r="69" spans="3:9" x14ac:dyDescent="0.35">
      <c r="C69" s="27">
        <v>45729</v>
      </c>
      <c r="D69" s="26" t="s">
        <v>11</v>
      </c>
      <c r="E69" s="26" t="s">
        <v>12</v>
      </c>
      <c r="F69" s="99">
        <v>3429.35</v>
      </c>
      <c r="G69" s="28" t="s">
        <v>107</v>
      </c>
      <c r="H69" s="102" cm="1">
        <f t="array" ref="H69">SUMPRODUCT(Tracking[Amount], --(Tracking[Date]&lt;=Tracking[[#This Row],[Date]]), (Tracking[Type]&lt;&gt;"Income")*(-1)+(Tracking[Type]="Income"))</f>
        <v>7505.59</v>
      </c>
      <c r="I6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45729</v>
      </c>
    </row>
    <row r="70" spans="3:9" x14ac:dyDescent="0.35">
      <c r="C70" s="27">
        <v>45730</v>
      </c>
      <c r="D70" s="26" t="s">
        <v>11</v>
      </c>
      <c r="E70" s="26" t="s">
        <v>103</v>
      </c>
      <c r="F70" s="99">
        <v>158.07</v>
      </c>
      <c r="G70" s="28" t="s">
        <v>107</v>
      </c>
      <c r="H70" s="102" cm="1">
        <f t="array" ref="H70">SUMPRODUCT(Tracking[Amount], --(Tracking[Date]&lt;=Tracking[[#This Row],[Date]]), (Tracking[Type]&lt;&gt;"Income")*(-1)+(Tracking[Type]="Income"))</f>
        <v>7589.7900000000009</v>
      </c>
      <c r="I7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45730</v>
      </c>
    </row>
    <row r="71" spans="3:9" x14ac:dyDescent="0.35">
      <c r="C71" s="27">
        <v>45730</v>
      </c>
      <c r="D71" s="26" t="s">
        <v>4</v>
      </c>
      <c r="E71" s="26" t="s">
        <v>9</v>
      </c>
      <c r="F71" s="99">
        <v>242.27</v>
      </c>
      <c r="G71" s="28" t="s">
        <v>107</v>
      </c>
      <c r="H71" s="102" cm="1">
        <f t="array" ref="H71">SUMPRODUCT(Tracking[Amount], --(Tracking[Date]&lt;=Tracking[[#This Row],[Date]]), (Tracking[Type]&lt;&gt;"Income")*(-1)+(Tracking[Type]="Income"))</f>
        <v>7589.7900000000009</v>
      </c>
      <c r="I7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45730</v>
      </c>
    </row>
    <row r="72" spans="3:9" x14ac:dyDescent="0.35">
      <c r="C72" s="27">
        <v>45731</v>
      </c>
      <c r="D72" s="26" t="s">
        <v>4</v>
      </c>
      <c r="E72" s="26" t="s">
        <v>7</v>
      </c>
      <c r="F72" s="99">
        <v>488</v>
      </c>
      <c r="G72" s="28" t="s">
        <v>107</v>
      </c>
      <c r="H72" s="102" cm="1">
        <f t="array" ref="H72">SUMPRODUCT(Tracking[Amount], --(Tracking[Date]&lt;=Tracking[[#This Row],[Date]]), (Tracking[Type]&lt;&gt;"Income")*(-1)+(Tracking[Type]="Income"))</f>
        <v>7562.2100000000009</v>
      </c>
      <c r="I7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45731</v>
      </c>
    </row>
    <row r="73" spans="3:9" x14ac:dyDescent="0.35">
      <c r="C73" s="27">
        <v>45731</v>
      </c>
      <c r="D73" s="26" t="s">
        <v>15</v>
      </c>
      <c r="E73" s="26" t="s">
        <v>17</v>
      </c>
      <c r="F73" s="99">
        <v>515.58000000000004</v>
      </c>
      <c r="G73" s="28" t="s">
        <v>107</v>
      </c>
      <c r="H73" s="102" cm="1">
        <f t="array" ref="H73">SUMPRODUCT(Tracking[Amount], --(Tracking[Date]&lt;=Tracking[[#This Row],[Date]]), (Tracking[Type]&lt;&gt;"Income")*(-1)+(Tracking[Type]="Income"))</f>
        <v>7562.2100000000009</v>
      </c>
      <c r="I7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45731</v>
      </c>
    </row>
    <row r="74" spans="3:9" x14ac:dyDescent="0.35">
      <c r="C74" s="27">
        <v>45732</v>
      </c>
      <c r="D74" s="26" t="s">
        <v>11</v>
      </c>
      <c r="E74" s="26" t="s">
        <v>13</v>
      </c>
      <c r="F74" s="99">
        <v>310.37</v>
      </c>
      <c r="G74" s="28" t="s">
        <v>107</v>
      </c>
      <c r="H74" s="102" cm="1">
        <f t="array" ref="H74">SUMPRODUCT(Tracking[Amount], --(Tracking[Date]&lt;=Tracking[[#This Row],[Date]]), (Tracking[Type]&lt;&gt;"Income")*(-1)+(Tracking[Type]="Income"))</f>
        <v>7251.8400000000011</v>
      </c>
      <c r="I7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45732</v>
      </c>
    </row>
    <row r="75" spans="3:9" x14ac:dyDescent="0.35">
      <c r="C75" s="27">
        <v>45733</v>
      </c>
      <c r="D75" s="26" t="s">
        <v>4</v>
      </c>
      <c r="E75" s="26" t="s">
        <v>10</v>
      </c>
      <c r="F75" s="99">
        <v>0.57999999999999996</v>
      </c>
      <c r="G75" s="28" t="s">
        <v>107</v>
      </c>
      <c r="H75" s="102" cm="1">
        <f t="array" ref="H75">SUMPRODUCT(Tracking[Amount], --(Tracking[Date]&lt;=Tracking[[#This Row],[Date]]), (Tracking[Type]&lt;&gt;"Income")*(-1)+(Tracking[Type]="Income"))</f>
        <v>7252.420000000001</v>
      </c>
      <c r="I7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45733</v>
      </c>
    </row>
    <row r="76" spans="3:9" x14ac:dyDescent="0.35">
      <c r="C76" s="27">
        <v>45734</v>
      </c>
      <c r="D76" s="26" t="s">
        <v>11</v>
      </c>
      <c r="E76" s="26" t="s">
        <v>12</v>
      </c>
      <c r="F76" s="99">
        <v>702.88</v>
      </c>
      <c r="G76" s="28" t="s">
        <v>107</v>
      </c>
      <c r="H76" s="102" cm="1">
        <f t="array" ref="H76">SUMPRODUCT(Tracking[Amount], --(Tracking[Date]&lt;=Tracking[[#This Row],[Date]]), (Tracking[Type]&lt;&gt;"Income")*(-1)+(Tracking[Type]="Income"))</f>
        <v>6499.4400000000005</v>
      </c>
      <c r="I7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45734</v>
      </c>
    </row>
    <row r="77" spans="3:9" x14ac:dyDescent="0.35">
      <c r="C77" s="27">
        <v>45734</v>
      </c>
      <c r="D77" s="26" t="s">
        <v>11</v>
      </c>
      <c r="E77" s="26" t="s">
        <v>10</v>
      </c>
      <c r="F77" s="99">
        <v>50.1</v>
      </c>
      <c r="G77" s="28" t="s">
        <v>107</v>
      </c>
      <c r="H77" s="102" cm="1">
        <f t="array" ref="H77">SUMPRODUCT(Tracking[Amount], --(Tracking[Date]&lt;=Tracking[[#This Row],[Date]]), (Tracking[Type]&lt;&gt;"Income")*(-1)+(Tracking[Type]="Income"))</f>
        <v>6499.4400000000005</v>
      </c>
      <c r="I7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45734</v>
      </c>
    </row>
    <row r="78" spans="3:9" x14ac:dyDescent="0.35">
      <c r="C78" s="27">
        <v>45735</v>
      </c>
      <c r="D78" s="26" t="s">
        <v>15</v>
      </c>
      <c r="E78" s="26" t="s">
        <v>16</v>
      </c>
      <c r="F78" s="99">
        <v>658.87</v>
      </c>
      <c r="G78" s="28" t="s">
        <v>107</v>
      </c>
      <c r="H78" s="102" cm="1">
        <f t="array" ref="H78">SUMPRODUCT(Tracking[Amount], --(Tracking[Date]&lt;=Tracking[[#This Row],[Date]]), (Tracking[Type]&lt;&gt;"Income")*(-1)+(Tracking[Type]="Income"))</f>
        <v>5840.5700000000006</v>
      </c>
      <c r="I7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45735</v>
      </c>
    </row>
    <row r="79" spans="3:9" x14ac:dyDescent="0.35">
      <c r="C79" s="27">
        <v>45737</v>
      </c>
      <c r="D79" s="26" t="s">
        <v>4</v>
      </c>
      <c r="E79" s="26" t="s">
        <v>9</v>
      </c>
      <c r="F79" s="99">
        <v>207.73</v>
      </c>
      <c r="G79" s="28" t="s">
        <v>107</v>
      </c>
      <c r="H79" s="102" cm="1">
        <f t="array" ref="H79">SUMPRODUCT(Tracking[Amount], --(Tracking[Date]&lt;=Tracking[[#This Row],[Date]]), (Tracking[Type]&lt;&gt;"Income")*(-1)+(Tracking[Type]="Income"))</f>
        <v>5349.49</v>
      </c>
      <c r="I7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45748</v>
      </c>
    </row>
    <row r="80" spans="3:9" x14ac:dyDescent="0.35">
      <c r="C80" s="27">
        <v>45737</v>
      </c>
      <c r="D80" s="26" t="s">
        <v>11</v>
      </c>
      <c r="E80" s="26" t="s">
        <v>106</v>
      </c>
      <c r="F80" s="99">
        <v>698.81</v>
      </c>
      <c r="G80" s="28" t="s">
        <v>107</v>
      </c>
      <c r="H80" s="102" cm="1">
        <f t="array" ref="H80">SUMPRODUCT(Tracking[Amount], --(Tracking[Date]&lt;=Tracking[[#This Row],[Date]]), (Tracking[Type]&lt;&gt;"Income")*(-1)+(Tracking[Type]="Income"))</f>
        <v>5349.49</v>
      </c>
      <c r="I8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45737</v>
      </c>
    </row>
    <row r="81" spans="3:9" x14ac:dyDescent="0.35">
      <c r="C81" s="27">
        <v>45738</v>
      </c>
      <c r="D81" s="26" t="s">
        <v>15</v>
      </c>
      <c r="E81" s="26" t="s">
        <v>17</v>
      </c>
      <c r="F81" s="99">
        <v>884.42</v>
      </c>
      <c r="G81" s="28" t="s">
        <v>107</v>
      </c>
      <c r="H81" s="102" cm="1">
        <f t="array" ref="H81">SUMPRODUCT(Tracking[Amount], --(Tracking[Date]&lt;=Tracking[[#This Row],[Date]]), (Tracking[Type]&lt;&gt;"Income")*(-1)+(Tracking[Type]="Income"))</f>
        <v>4396.16</v>
      </c>
      <c r="I8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45738</v>
      </c>
    </row>
    <row r="82" spans="3:9" x14ac:dyDescent="0.35">
      <c r="C82" s="27">
        <v>45738</v>
      </c>
      <c r="D82" s="26" t="s">
        <v>15</v>
      </c>
      <c r="E82" s="26" t="s">
        <v>10</v>
      </c>
      <c r="F82" s="99">
        <v>68.91</v>
      </c>
      <c r="G82" s="28" t="s">
        <v>107</v>
      </c>
      <c r="H82" s="102" cm="1">
        <f t="array" ref="H82">SUMPRODUCT(Tracking[Amount], --(Tracking[Date]&lt;=Tracking[[#This Row],[Date]]), (Tracking[Type]&lt;&gt;"Income")*(-1)+(Tracking[Type]="Income"))</f>
        <v>4396.16</v>
      </c>
      <c r="I8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45738</v>
      </c>
    </row>
    <row r="83" spans="3:9" x14ac:dyDescent="0.35">
      <c r="C83" s="27">
        <v>45739</v>
      </c>
      <c r="D83" s="26" t="s">
        <v>15</v>
      </c>
      <c r="E83" s="26" t="s">
        <v>10</v>
      </c>
      <c r="F83" s="99">
        <v>81.09</v>
      </c>
      <c r="G83" s="28" t="s">
        <v>107</v>
      </c>
      <c r="H83" s="102" cm="1">
        <f t="array" ref="H83">SUMPRODUCT(Tracking[Amount], --(Tracking[Date]&lt;=Tracking[[#This Row],[Date]]), (Tracking[Type]&lt;&gt;"Income")*(-1)+(Tracking[Type]="Income"))</f>
        <v>4315.07</v>
      </c>
      <c r="I8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45739</v>
      </c>
    </row>
    <row r="84" spans="3:9" x14ac:dyDescent="0.35">
      <c r="C84" s="27">
        <v>45740</v>
      </c>
      <c r="D84" s="26" t="s">
        <v>11</v>
      </c>
      <c r="E84" s="26" t="s">
        <v>104</v>
      </c>
      <c r="F84" s="99">
        <v>103.39</v>
      </c>
      <c r="G84" s="28" t="s">
        <v>107</v>
      </c>
      <c r="H84" s="102" cm="1">
        <f t="array" ref="H84">SUMPRODUCT(Tracking[Amount], --(Tracking[Date]&lt;=Tracking[[#This Row],[Date]]), (Tracking[Type]&lt;&gt;"Income")*(-1)+(Tracking[Type]="Income"))</f>
        <v>4211.6799999999994</v>
      </c>
      <c r="I8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45740</v>
      </c>
    </row>
    <row r="85" spans="3:9" x14ac:dyDescent="0.35">
      <c r="C85" s="27">
        <v>45741</v>
      </c>
      <c r="D85" s="26" t="s">
        <v>11</v>
      </c>
      <c r="E85" s="26" t="s">
        <v>106</v>
      </c>
      <c r="F85" s="99">
        <v>724.18</v>
      </c>
      <c r="G85" s="28" t="s">
        <v>107</v>
      </c>
      <c r="H85" s="102" cm="1">
        <f t="array" ref="H85">SUMPRODUCT(Tracking[Amount], --(Tracking[Date]&lt;=Tracking[[#This Row],[Date]]), (Tracking[Type]&lt;&gt;"Income")*(-1)+(Tracking[Type]="Income"))</f>
        <v>3487.4999999999995</v>
      </c>
      <c r="I8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45741</v>
      </c>
    </row>
    <row r="86" spans="3:9" x14ac:dyDescent="0.35">
      <c r="C86" s="27">
        <v>45742</v>
      </c>
      <c r="D86" s="26" t="s">
        <v>15</v>
      </c>
      <c r="E86" s="26" t="s">
        <v>16</v>
      </c>
      <c r="F86" s="99">
        <v>541.13</v>
      </c>
      <c r="G86" s="28" t="s">
        <v>107</v>
      </c>
      <c r="H86" s="102" cm="1">
        <f t="array" ref="H86">SUMPRODUCT(Tracking[Amount], --(Tracking[Date]&lt;=Tracking[[#This Row],[Date]]), (Tracking[Type]&lt;&gt;"Income")*(-1)+(Tracking[Type]="Income"))</f>
        <v>2946.3699999999994</v>
      </c>
      <c r="I8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45742</v>
      </c>
    </row>
    <row r="87" spans="3:9" x14ac:dyDescent="0.35">
      <c r="C87" s="27">
        <v>45743</v>
      </c>
      <c r="D87" s="26" t="s">
        <v>11</v>
      </c>
      <c r="E87" s="26" t="s">
        <v>104</v>
      </c>
      <c r="F87" s="99">
        <v>79.489999999999995</v>
      </c>
      <c r="G87" s="28" t="s">
        <v>107</v>
      </c>
      <c r="H87" s="102" cm="1">
        <f t="array" ref="H87">SUMPRODUCT(Tracking[Amount], --(Tracking[Date]&lt;=Tracking[[#This Row],[Date]]), (Tracking[Type]&lt;&gt;"Income")*(-1)+(Tracking[Type]="Income"))</f>
        <v>2866.8799999999997</v>
      </c>
      <c r="I8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45743</v>
      </c>
    </row>
    <row r="88" spans="3:9" x14ac:dyDescent="0.35">
      <c r="C88" s="27">
        <v>45748</v>
      </c>
      <c r="D88" s="26" t="s">
        <v>4</v>
      </c>
      <c r="E88" s="26" t="s">
        <v>7</v>
      </c>
      <c r="F88" s="99">
        <v>2441.73</v>
      </c>
      <c r="G88" s="28" t="s">
        <v>107</v>
      </c>
      <c r="H88" s="102" cm="1">
        <f t="array" ref="H88">SUMPRODUCT(Tracking[Amount], --(Tracking[Date]&lt;=Tracking[[#This Row],[Date]]), (Tracking[Type]&lt;&gt;"Income")*(-1)+(Tracking[Type]="Income"))</f>
        <v>4921.7</v>
      </c>
      <c r="I8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45748</v>
      </c>
    </row>
    <row r="89" spans="3:9" x14ac:dyDescent="0.35">
      <c r="C89" s="27">
        <v>45748</v>
      </c>
      <c r="D89" s="26" t="s">
        <v>15</v>
      </c>
      <c r="E89" s="26" t="s">
        <v>18</v>
      </c>
      <c r="F89" s="99">
        <v>386.91</v>
      </c>
      <c r="G89" s="28" t="s">
        <v>107</v>
      </c>
      <c r="H89" s="102" cm="1">
        <f t="array" ref="H89">SUMPRODUCT(Tracking[Amount], --(Tracking[Date]&lt;=Tracking[[#This Row],[Date]]), (Tracking[Type]&lt;&gt;"Income")*(-1)+(Tracking[Type]="Income"))</f>
        <v>4921.7</v>
      </c>
      <c r="I8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45748</v>
      </c>
    </row>
    <row r="90" spans="3:9" x14ac:dyDescent="0.35">
      <c r="C90" s="27">
        <v>45750</v>
      </c>
      <c r="D90" s="26" t="s">
        <v>11</v>
      </c>
      <c r="E90" s="26" t="s">
        <v>10</v>
      </c>
      <c r="F90" s="99">
        <v>150</v>
      </c>
      <c r="G90" s="28" t="s">
        <v>107</v>
      </c>
      <c r="H90" s="102" cm="1">
        <f t="array" ref="H90">SUMPRODUCT(Tracking[Amount], --(Tracking[Date]&lt;=Tracking[[#This Row],[Date]]), (Tracking[Type]&lt;&gt;"Income")*(-1)+(Tracking[Type]="Income"))</f>
        <v>4637.63</v>
      </c>
      <c r="I9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45750</v>
      </c>
    </row>
    <row r="91" spans="3:9" x14ac:dyDescent="0.35">
      <c r="C91" s="27">
        <v>45750</v>
      </c>
      <c r="D91" s="26" t="s">
        <v>11</v>
      </c>
      <c r="E91" s="26" t="s">
        <v>103</v>
      </c>
      <c r="F91" s="99">
        <v>134.07</v>
      </c>
      <c r="G91" s="28" t="s">
        <v>107</v>
      </c>
      <c r="H91" s="102" cm="1">
        <f t="array" ref="H91">SUMPRODUCT(Tracking[Amount], --(Tracking[Date]&lt;=Tracking[[#This Row],[Date]]), (Tracking[Type]&lt;&gt;"Income")*(-1)+(Tracking[Type]="Income"))</f>
        <v>4637.63</v>
      </c>
      <c r="I9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45750</v>
      </c>
    </row>
    <row r="92" spans="3:9" x14ac:dyDescent="0.35">
      <c r="C92" s="27">
        <v>45752</v>
      </c>
      <c r="D92" s="26" t="s">
        <v>15</v>
      </c>
      <c r="E92" s="26" t="s">
        <v>16</v>
      </c>
      <c r="F92" s="99">
        <v>157.44</v>
      </c>
      <c r="G92" s="28" t="s">
        <v>107</v>
      </c>
      <c r="H92" s="102" cm="1">
        <f t="array" ref="H92">SUMPRODUCT(Tracking[Amount], --(Tracking[Date]&lt;=Tracking[[#This Row],[Date]]), (Tracking[Type]&lt;&gt;"Income")*(-1)+(Tracking[Type]="Income"))</f>
        <v>5423.18</v>
      </c>
      <c r="I9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45752</v>
      </c>
    </row>
    <row r="93" spans="3:9" x14ac:dyDescent="0.35">
      <c r="C93" s="27">
        <v>45752</v>
      </c>
      <c r="D93" s="26" t="s">
        <v>4</v>
      </c>
      <c r="E93" s="26" t="s">
        <v>8</v>
      </c>
      <c r="F93" s="99">
        <v>942.99</v>
      </c>
      <c r="G93" s="28" t="s">
        <v>107</v>
      </c>
      <c r="H93" s="102" cm="1">
        <f t="array" ref="H93">SUMPRODUCT(Tracking[Amount], --(Tracking[Date]&lt;=Tracking[[#This Row],[Date]]), (Tracking[Type]&lt;&gt;"Income")*(-1)+(Tracking[Type]="Income"))</f>
        <v>5423.18</v>
      </c>
      <c r="I9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45752</v>
      </c>
    </row>
    <row r="94" spans="3:9" x14ac:dyDescent="0.35">
      <c r="C94" s="27">
        <v>45753</v>
      </c>
      <c r="D94" s="26" t="s">
        <v>4</v>
      </c>
      <c r="E94" s="26" t="s">
        <v>7</v>
      </c>
      <c r="F94" s="99">
        <v>6358.27</v>
      </c>
      <c r="G94" s="28" t="s">
        <v>107</v>
      </c>
      <c r="H94" s="102" cm="1">
        <f t="array" ref="H94">SUMPRODUCT(Tracking[Amount], --(Tracking[Date]&lt;=Tracking[[#This Row],[Date]]), (Tracking[Type]&lt;&gt;"Income")*(-1)+(Tracking[Type]="Income"))</f>
        <v>11781.45</v>
      </c>
      <c r="I9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45753</v>
      </c>
    </row>
    <row r="95" spans="3:9" x14ac:dyDescent="0.35">
      <c r="C95" s="27">
        <v>45754</v>
      </c>
      <c r="D95" s="26" t="s">
        <v>11</v>
      </c>
      <c r="E95" s="26" t="s">
        <v>104</v>
      </c>
      <c r="F95" s="99">
        <v>14.35</v>
      </c>
      <c r="G95" s="28" t="s">
        <v>107</v>
      </c>
      <c r="H95" s="102" cm="1">
        <f t="array" ref="H95">SUMPRODUCT(Tracking[Amount], --(Tracking[Date]&lt;=Tracking[[#This Row],[Date]]), (Tracking[Type]&lt;&gt;"Income")*(-1)+(Tracking[Type]="Income"))</f>
        <v>11451.17</v>
      </c>
      <c r="I9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45754</v>
      </c>
    </row>
    <row r="96" spans="3:9" x14ac:dyDescent="0.35">
      <c r="C96" s="27">
        <v>45754</v>
      </c>
      <c r="D96" s="26" t="s">
        <v>11</v>
      </c>
      <c r="E96" s="26" t="s">
        <v>103</v>
      </c>
      <c r="F96" s="99">
        <v>315.93</v>
      </c>
      <c r="G96" s="28" t="s">
        <v>107</v>
      </c>
      <c r="H96" s="102" cm="1">
        <f t="array" ref="H96">SUMPRODUCT(Tracking[Amount], --(Tracking[Date]&lt;=Tracking[[#This Row],[Date]]), (Tracking[Type]&lt;&gt;"Income")*(-1)+(Tracking[Type]="Income"))</f>
        <v>11451.17</v>
      </c>
      <c r="I9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45754</v>
      </c>
    </row>
    <row r="97" spans="3:9" x14ac:dyDescent="0.35">
      <c r="C97" s="27">
        <v>45755</v>
      </c>
      <c r="D97" s="26" t="s">
        <v>11</v>
      </c>
      <c r="E97" s="26" t="s">
        <v>12</v>
      </c>
      <c r="F97" s="99">
        <v>891.31</v>
      </c>
      <c r="G97" s="28" t="s">
        <v>107</v>
      </c>
      <c r="H97" s="102" cm="1">
        <f t="array" ref="H97">SUMPRODUCT(Tracking[Amount], --(Tracking[Date]&lt;=Tracking[[#This Row],[Date]]), (Tracking[Type]&lt;&gt;"Income")*(-1)+(Tracking[Type]="Income"))</f>
        <v>10559.86</v>
      </c>
      <c r="I9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45755</v>
      </c>
    </row>
    <row r="98" spans="3:9" x14ac:dyDescent="0.35">
      <c r="C98" s="27">
        <v>45756</v>
      </c>
      <c r="D98" s="26" t="s">
        <v>11</v>
      </c>
      <c r="E98" s="26" t="s">
        <v>104</v>
      </c>
      <c r="F98" s="99">
        <v>71.58</v>
      </c>
      <c r="G98" s="28" t="s">
        <v>107</v>
      </c>
      <c r="H98" s="102" cm="1">
        <f t="array" ref="H98">SUMPRODUCT(Tracking[Amount], --(Tracking[Date]&lt;=Tracking[[#This Row],[Date]]), (Tracking[Type]&lt;&gt;"Income")*(-1)+(Tracking[Type]="Income"))</f>
        <v>9208.08</v>
      </c>
      <c r="I9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45756</v>
      </c>
    </row>
    <row r="99" spans="3:9" x14ac:dyDescent="0.35">
      <c r="C99" s="27">
        <v>45756</v>
      </c>
      <c r="D99" s="26" t="s">
        <v>15</v>
      </c>
      <c r="E99" s="26" t="s">
        <v>18</v>
      </c>
      <c r="F99" s="99">
        <v>313.08999999999997</v>
      </c>
      <c r="G99" s="28" t="s">
        <v>107</v>
      </c>
      <c r="H99" s="102" cm="1">
        <f t="array" ref="H99">SUMPRODUCT(Tracking[Amount], --(Tracking[Date]&lt;=Tracking[[#This Row],[Date]]), (Tracking[Type]&lt;&gt;"Income")*(-1)+(Tracking[Type]="Income"))</f>
        <v>9208.08</v>
      </c>
      <c r="I9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45756</v>
      </c>
    </row>
    <row r="100" spans="3:9" x14ac:dyDescent="0.35">
      <c r="C100" s="27">
        <v>45756</v>
      </c>
      <c r="D100" s="26" t="s">
        <v>11</v>
      </c>
      <c r="E100" s="26" t="s">
        <v>12</v>
      </c>
      <c r="F100" s="99">
        <v>967.11</v>
      </c>
      <c r="G100" s="28" t="s">
        <v>107</v>
      </c>
      <c r="H100" s="102" cm="1">
        <f t="array" ref="H100">SUMPRODUCT(Tracking[Amount], --(Tracking[Date]&lt;=Tracking[[#This Row],[Date]]), (Tracking[Type]&lt;&gt;"Income")*(-1)+(Tracking[Type]="Income"))</f>
        <v>9208.08</v>
      </c>
      <c r="I10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45756</v>
      </c>
    </row>
    <row r="101" spans="3:9" x14ac:dyDescent="0.35">
      <c r="C101" s="27">
        <v>45758</v>
      </c>
      <c r="D101" s="26" t="s">
        <v>4</v>
      </c>
      <c r="E101" s="26" t="s">
        <v>8</v>
      </c>
      <c r="F101" s="99">
        <v>557.01</v>
      </c>
      <c r="G101" s="28" t="s">
        <v>107</v>
      </c>
      <c r="H101" s="102" cm="1">
        <f t="array" ref="H101">SUMPRODUCT(Tracking[Amount], --(Tracking[Date]&lt;=Tracking[[#This Row],[Date]]), (Tracking[Type]&lt;&gt;"Income")*(-1)+(Tracking[Type]="Income"))</f>
        <v>8215.09</v>
      </c>
      <c r="I10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45758</v>
      </c>
    </row>
    <row r="102" spans="3:9" x14ac:dyDescent="0.35">
      <c r="C102" s="27">
        <v>45758</v>
      </c>
      <c r="D102" s="26" t="s">
        <v>11</v>
      </c>
      <c r="E102" s="26" t="s">
        <v>13</v>
      </c>
      <c r="F102" s="99">
        <v>1550</v>
      </c>
      <c r="G102" s="28" t="s">
        <v>107</v>
      </c>
      <c r="H102" s="102" cm="1">
        <f t="array" ref="H102">SUMPRODUCT(Tracking[Amount], --(Tracking[Date]&lt;=Tracking[[#This Row],[Date]]), (Tracking[Type]&lt;&gt;"Income")*(-1)+(Tracking[Type]="Income"))</f>
        <v>8215.09</v>
      </c>
      <c r="I10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45758</v>
      </c>
    </row>
    <row r="103" spans="3:9" x14ac:dyDescent="0.35">
      <c r="C103" s="27">
        <v>45764</v>
      </c>
      <c r="D103" s="26" t="s">
        <v>11</v>
      </c>
      <c r="E103" s="26" t="s">
        <v>12</v>
      </c>
      <c r="F103" s="99">
        <v>2341.58</v>
      </c>
      <c r="G103" s="28" t="s">
        <v>107</v>
      </c>
      <c r="H103" s="102" cm="1">
        <f t="array" ref="H103">SUMPRODUCT(Tracking[Amount], --(Tracking[Date]&lt;=Tracking[[#This Row],[Date]]), (Tracking[Type]&lt;&gt;"Income")*(-1)+(Tracking[Type]="Income"))</f>
        <v>5691.34</v>
      </c>
      <c r="I10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45764</v>
      </c>
    </row>
    <row r="104" spans="3:9" x14ac:dyDescent="0.35">
      <c r="C104" s="27">
        <v>45764</v>
      </c>
      <c r="D104" s="26" t="s">
        <v>15</v>
      </c>
      <c r="E104" s="26" t="s">
        <v>10</v>
      </c>
      <c r="F104" s="99">
        <v>182.17</v>
      </c>
      <c r="G104" s="28" t="s">
        <v>107</v>
      </c>
      <c r="H104" s="102" cm="1">
        <f t="array" ref="H104">SUMPRODUCT(Tracking[Amount], --(Tracking[Date]&lt;=Tracking[[#This Row],[Date]]), (Tracking[Type]&lt;&gt;"Income")*(-1)+(Tracking[Type]="Income"))</f>
        <v>5691.34</v>
      </c>
      <c r="I10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45764</v>
      </c>
    </row>
    <row r="105" spans="3:9" x14ac:dyDescent="0.35">
      <c r="C105" s="27">
        <v>45765</v>
      </c>
      <c r="D105" s="26" t="s">
        <v>4</v>
      </c>
      <c r="E105" s="26" t="s">
        <v>10</v>
      </c>
      <c r="F105" s="99">
        <v>400</v>
      </c>
      <c r="G105" s="28" t="s">
        <v>107</v>
      </c>
      <c r="H105" s="102" cm="1">
        <f t="array" ref="H105">SUMPRODUCT(Tracking[Amount], --(Tracking[Date]&lt;=Tracking[[#This Row],[Date]]), (Tracking[Type]&lt;&gt;"Income")*(-1)+(Tracking[Type]="Income"))</f>
        <v>6091.34</v>
      </c>
      <c r="I10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45765</v>
      </c>
    </row>
    <row r="106" spans="3:9" x14ac:dyDescent="0.35">
      <c r="C106" s="27">
        <v>45766</v>
      </c>
      <c r="D106" s="26" t="s">
        <v>11</v>
      </c>
      <c r="E106" s="26" t="s">
        <v>104</v>
      </c>
      <c r="F106" s="99">
        <v>64.069999999999993</v>
      </c>
      <c r="G106" s="28" t="s">
        <v>107</v>
      </c>
      <c r="H106" s="102" cm="1">
        <f t="array" ref="H106">SUMPRODUCT(Tracking[Amount], --(Tracking[Date]&lt;=Tracking[[#This Row],[Date]]), (Tracking[Type]&lt;&gt;"Income")*(-1)+(Tracking[Type]="Income"))</f>
        <v>6027.27</v>
      </c>
      <c r="I10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45766</v>
      </c>
    </row>
    <row r="107" spans="3:9" x14ac:dyDescent="0.35">
      <c r="C107" s="27">
        <v>45773</v>
      </c>
      <c r="D107" s="26" t="s">
        <v>15</v>
      </c>
      <c r="E107" s="26" t="s">
        <v>16</v>
      </c>
      <c r="F107" s="99">
        <v>1042.56</v>
      </c>
      <c r="G107" s="28" t="s">
        <v>107</v>
      </c>
      <c r="H107" s="102" cm="1">
        <f t="array" ref="H107">SUMPRODUCT(Tracking[Amount], --(Tracking[Date]&lt;=Tracking[[#This Row],[Date]]), (Tracking[Type]&lt;&gt;"Income")*(-1)+(Tracking[Type]="Income"))</f>
        <v>3584.7100000000009</v>
      </c>
      <c r="I10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45773</v>
      </c>
    </row>
    <row r="108" spans="3:9" x14ac:dyDescent="0.35">
      <c r="C108" s="27">
        <v>45773</v>
      </c>
      <c r="D108" s="26" t="s">
        <v>15</v>
      </c>
      <c r="E108" s="26" t="s">
        <v>17</v>
      </c>
      <c r="F108" s="99">
        <v>1400</v>
      </c>
      <c r="G108" s="28" t="s">
        <v>107</v>
      </c>
      <c r="H108" s="102" cm="1">
        <f t="array" ref="H108">SUMPRODUCT(Tracking[Amount], --(Tracking[Date]&lt;=Tracking[[#This Row],[Date]]), (Tracking[Type]&lt;&gt;"Income")*(-1)+(Tracking[Type]="Income"))</f>
        <v>3584.7100000000009</v>
      </c>
      <c r="I10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45773</v>
      </c>
    </row>
    <row r="109" spans="3:9" x14ac:dyDescent="0.35">
      <c r="C109" s="27">
        <v>45774</v>
      </c>
      <c r="D109" s="26" t="s">
        <v>15</v>
      </c>
      <c r="E109" s="26" t="s">
        <v>10</v>
      </c>
      <c r="F109" s="99">
        <v>67.83</v>
      </c>
      <c r="G109" s="28" t="s">
        <v>107</v>
      </c>
      <c r="H109" s="102" cm="1">
        <f t="array" ref="H109">SUMPRODUCT(Tracking[Amount], --(Tracking[Date]&lt;=Tracking[[#This Row],[Date]]), (Tracking[Type]&lt;&gt;"Income")*(-1)+(Tracking[Type]="Income"))</f>
        <v>3516.880000000001</v>
      </c>
      <c r="I10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45774</v>
      </c>
    </row>
    <row r="110" spans="3:9" x14ac:dyDescent="0.35">
      <c r="C110" s="27">
        <v>45779</v>
      </c>
      <c r="D110" s="26" t="s">
        <v>4</v>
      </c>
      <c r="E110" s="26" t="s">
        <v>10</v>
      </c>
      <c r="F110" s="99">
        <v>125.99</v>
      </c>
      <c r="G110" s="28" t="s">
        <v>107</v>
      </c>
      <c r="H110" s="102" cm="1">
        <f t="array" ref="H110">SUMPRODUCT(Tracking[Amount], --(Tracking[Date]&lt;=Tracking[[#This Row],[Date]]), (Tracking[Type]&lt;&gt;"Income")*(-1)+(Tracking[Type]="Income"))</f>
        <v>3642.8700000000008</v>
      </c>
      <c r="I11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45779</v>
      </c>
    </row>
    <row r="111" spans="3:9" x14ac:dyDescent="0.35">
      <c r="C111" s="27">
        <v>45781</v>
      </c>
      <c r="D111" s="26" t="s">
        <v>15</v>
      </c>
      <c r="E111" s="26" t="s">
        <v>17</v>
      </c>
      <c r="F111" s="99">
        <v>399.88</v>
      </c>
      <c r="G111" s="28" t="s">
        <v>107</v>
      </c>
      <c r="H111" s="102" cm="1">
        <f t="array" ref="H111">SUMPRODUCT(Tracking[Amount], --(Tracking[Date]&lt;=Tracking[[#This Row],[Date]]), (Tracking[Type]&lt;&gt;"Income")*(-1)+(Tracking[Type]="Income"))</f>
        <v>3242.9900000000007</v>
      </c>
      <c r="I11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45781</v>
      </c>
    </row>
    <row r="112" spans="3:9" x14ac:dyDescent="0.35">
      <c r="C112" s="27">
        <v>45783</v>
      </c>
      <c r="D112" s="26" t="s">
        <v>15</v>
      </c>
      <c r="E112" s="26" t="s">
        <v>16</v>
      </c>
      <c r="F112" s="99">
        <v>702.86</v>
      </c>
      <c r="G112" s="28" t="s">
        <v>107</v>
      </c>
      <c r="H112" s="102" cm="1">
        <f t="array" ref="H112">SUMPRODUCT(Tracking[Amount], --(Tracking[Date]&lt;=Tracking[[#This Row],[Date]]), (Tracking[Type]&lt;&gt;"Income")*(-1)+(Tracking[Type]="Income"))</f>
        <v>2540.1300000000006</v>
      </c>
      <c r="I11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45783</v>
      </c>
    </row>
    <row r="113" spans="3:9" x14ac:dyDescent="0.35">
      <c r="C113" s="27">
        <v>45786</v>
      </c>
      <c r="D113" s="26" t="s">
        <v>15</v>
      </c>
      <c r="E113" s="26" t="s">
        <v>17</v>
      </c>
      <c r="F113" s="99">
        <v>1000.12</v>
      </c>
      <c r="G113" s="28" t="s">
        <v>107</v>
      </c>
      <c r="H113" s="102" cm="1">
        <f t="array" ref="H113">SUMPRODUCT(Tracking[Amount], --(Tracking[Date]&lt;=Tracking[[#This Row],[Date]]), (Tracking[Type]&lt;&gt;"Income")*(-1)+(Tracking[Type]="Income"))</f>
        <v>1540.0100000000007</v>
      </c>
      <c r="I11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45786</v>
      </c>
    </row>
    <row r="114" spans="3:9" x14ac:dyDescent="0.35">
      <c r="C114" s="27">
        <v>45788</v>
      </c>
      <c r="D114" s="26" t="s">
        <v>15</v>
      </c>
      <c r="E114" s="26" t="s">
        <v>10</v>
      </c>
      <c r="F114" s="99">
        <v>84.22</v>
      </c>
      <c r="G114" s="28" t="s">
        <v>107</v>
      </c>
      <c r="H114" s="102" cm="1">
        <f t="array" ref="H114">SUMPRODUCT(Tracking[Amount], --(Tracking[Date]&lt;=Tracking[[#This Row],[Date]]), (Tracking[Type]&lt;&gt;"Income")*(-1)+(Tracking[Type]="Income"))</f>
        <v>845.2100000000006</v>
      </c>
      <c r="I11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45788</v>
      </c>
    </row>
    <row r="115" spans="3:9" x14ac:dyDescent="0.35">
      <c r="C115" s="27">
        <v>45788</v>
      </c>
      <c r="D115" s="26" t="s">
        <v>11</v>
      </c>
      <c r="E115" s="26" t="s">
        <v>13</v>
      </c>
      <c r="F115" s="99">
        <v>610.58000000000004</v>
      </c>
      <c r="G115" s="28" t="s">
        <v>107</v>
      </c>
      <c r="H115" s="102" cm="1">
        <f t="array" ref="H115">SUMPRODUCT(Tracking[Amount], --(Tracking[Date]&lt;=Tracking[[#This Row],[Date]]), (Tracking[Type]&lt;&gt;"Income")*(-1)+(Tracking[Type]="Income"))</f>
        <v>845.2100000000006</v>
      </c>
      <c r="I11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45788</v>
      </c>
    </row>
    <row r="116" spans="3:9" x14ac:dyDescent="0.35">
      <c r="C116" s="27">
        <v>45790</v>
      </c>
      <c r="D116" s="26" t="s">
        <v>15</v>
      </c>
      <c r="E116" s="26" t="s">
        <v>18</v>
      </c>
      <c r="F116" s="99">
        <v>961.3</v>
      </c>
      <c r="G116" s="28" t="s">
        <v>107</v>
      </c>
      <c r="H116" s="102" cm="1">
        <f t="array" ref="H116">SUMPRODUCT(Tracking[Amount], --(Tracking[Date]&lt;=Tracking[[#This Row],[Date]]), (Tracking[Type]&lt;&gt;"Income")*(-1)+(Tracking[Type]="Income"))</f>
        <v>-416.08999999999935</v>
      </c>
      <c r="I11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45790</v>
      </c>
    </row>
    <row r="117" spans="3:9" x14ac:dyDescent="0.35">
      <c r="C117" s="27">
        <v>45790</v>
      </c>
      <c r="D117" s="26" t="s">
        <v>11</v>
      </c>
      <c r="E117" s="26" t="s">
        <v>104</v>
      </c>
      <c r="F117" s="99">
        <v>300</v>
      </c>
      <c r="G117" s="28" t="s">
        <v>107</v>
      </c>
      <c r="H117" s="102" cm="1">
        <f t="array" ref="H117">SUMPRODUCT(Tracking[Amount], --(Tracking[Date]&lt;=Tracking[[#This Row],[Date]]), (Tracking[Type]&lt;&gt;"Income")*(-1)+(Tracking[Type]="Income"))</f>
        <v>-416.08999999999935</v>
      </c>
      <c r="I11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45790</v>
      </c>
    </row>
    <row r="118" spans="3:9" x14ac:dyDescent="0.35">
      <c r="C118" s="27">
        <v>45792</v>
      </c>
      <c r="D118" s="26" t="s">
        <v>11</v>
      </c>
      <c r="E118" s="26" t="s">
        <v>13</v>
      </c>
      <c r="F118" s="99">
        <v>889.42</v>
      </c>
      <c r="G118" s="28" t="s">
        <v>107</v>
      </c>
      <c r="H118" s="102" cm="1">
        <f t="array" ref="H118">SUMPRODUCT(Tracking[Amount], --(Tracking[Date]&lt;=Tracking[[#This Row],[Date]]), (Tracking[Type]&lt;&gt;"Income")*(-1)+(Tracking[Type]="Income"))</f>
        <v>-1305.5099999999993</v>
      </c>
      <c r="I11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45792</v>
      </c>
    </row>
    <row r="119" spans="3:9" x14ac:dyDescent="0.35">
      <c r="C119" s="27">
        <v>45796</v>
      </c>
      <c r="D119" s="26" t="s">
        <v>15</v>
      </c>
      <c r="E119" s="26" t="s">
        <v>18</v>
      </c>
      <c r="F119" s="99">
        <v>138.69999999999999</v>
      </c>
      <c r="G119" s="28" t="s">
        <v>107</v>
      </c>
      <c r="H119" s="102" cm="1">
        <f t="array" ref="H119">SUMPRODUCT(Tracking[Amount], --(Tracking[Date]&lt;=Tracking[[#This Row],[Date]]), (Tracking[Type]&lt;&gt;"Income")*(-1)+(Tracking[Type]="Income"))</f>
        <v>-1444.2099999999994</v>
      </c>
      <c r="I11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45796</v>
      </c>
    </row>
    <row r="120" spans="3:9" x14ac:dyDescent="0.35">
      <c r="C120" s="27">
        <v>45797</v>
      </c>
      <c r="D120" s="26" t="s">
        <v>4</v>
      </c>
      <c r="E120" s="26" t="s">
        <v>7</v>
      </c>
      <c r="F120" s="99">
        <v>8800</v>
      </c>
      <c r="G120" s="28" t="s">
        <v>107</v>
      </c>
      <c r="H120" s="102" cm="1">
        <f t="array" ref="H120">SUMPRODUCT(Tracking[Amount], --(Tracking[Date]&lt;=Tracking[[#This Row],[Date]]), (Tracking[Type]&lt;&gt;"Income")*(-1)+(Tracking[Type]="Income"))</f>
        <v>7355.7900000000009</v>
      </c>
      <c r="I12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45809</v>
      </c>
    </row>
    <row r="121" spans="3:9" x14ac:dyDescent="0.35">
      <c r="C121" s="27">
        <v>45799</v>
      </c>
      <c r="D121" s="26" t="s">
        <v>11</v>
      </c>
      <c r="E121" s="26" t="s">
        <v>12</v>
      </c>
      <c r="F121" s="99">
        <v>2957.87</v>
      </c>
      <c r="G121" s="28" t="s">
        <v>107</v>
      </c>
      <c r="H121" s="102" cm="1">
        <f t="array" ref="H121">SUMPRODUCT(Tracking[Amount], --(Tracking[Date]&lt;=Tracking[[#This Row],[Date]]), (Tracking[Type]&lt;&gt;"Income")*(-1)+(Tracking[Type]="Income"))</f>
        <v>4397.920000000001</v>
      </c>
      <c r="I12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45799</v>
      </c>
    </row>
    <row r="122" spans="3:9" x14ac:dyDescent="0.35">
      <c r="C122" s="27">
        <v>45800</v>
      </c>
      <c r="D122" s="26" t="s">
        <v>4</v>
      </c>
      <c r="E122" s="26" t="s">
        <v>10</v>
      </c>
      <c r="F122" s="99">
        <v>74.010000000000005</v>
      </c>
      <c r="G122" s="28" t="s">
        <v>107</v>
      </c>
      <c r="H122" s="102" cm="1">
        <f t="array" ref="H122">SUMPRODUCT(Tracking[Amount], --(Tracking[Date]&lt;=Tracking[[#This Row],[Date]]), (Tracking[Type]&lt;&gt;"Income")*(-1)+(Tracking[Type]="Income"))</f>
        <v>4456.1500000000015</v>
      </c>
      <c r="I12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45809</v>
      </c>
    </row>
    <row r="123" spans="3:9" x14ac:dyDescent="0.35">
      <c r="C123" s="27">
        <v>45800</v>
      </c>
      <c r="D123" s="26" t="s">
        <v>15</v>
      </c>
      <c r="E123" s="26" t="s">
        <v>10</v>
      </c>
      <c r="F123" s="99">
        <v>15.78</v>
      </c>
      <c r="G123" s="28" t="s">
        <v>107</v>
      </c>
      <c r="H123" s="102" cm="1">
        <f t="array" ref="H123">SUMPRODUCT(Tracking[Amount], --(Tracking[Date]&lt;=Tracking[[#This Row],[Date]]), (Tracking[Type]&lt;&gt;"Income")*(-1)+(Tracking[Type]="Income"))</f>
        <v>4456.1500000000015</v>
      </c>
      <c r="I12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45800</v>
      </c>
    </row>
    <row r="124" spans="3:9" x14ac:dyDescent="0.35">
      <c r="C124" s="27">
        <v>45803</v>
      </c>
      <c r="D124" s="26" t="s">
        <v>4</v>
      </c>
      <c r="E124" s="26" t="s">
        <v>8</v>
      </c>
      <c r="F124" s="99">
        <v>2400</v>
      </c>
      <c r="G124" s="28" t="s">
        <v>107</v>
      </c>
      <c r="H124" s="102" cm="1">
        <f t="array" ref="H124">SUMPRODUCT(Tracking[Amount], --(Tracking[Date]&lt;=Tracking[[#This Row],[Date]]), (Tracking[Type]&lt;&gt;"Income")*(-1)+(Tracking[Type]="Income"))</f>
        <v>6856.1500000000015</v>
      </c>
      <c r="I12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45809</v>
      </c>
    </row>
    <row r="125" spans="3:9" x14ac:dyDescent="0.35">
      <c r="C125" s="27">
        <v>45804</v>
      </c>
      <c r="D125" s="26" t="s">
        <v>11</v>
      </c>
      <c r="E125" s="26" t="s">
        <v>103</v>
      </c>
      <c r="F125" s="99">
        <v>500</v>
      </c>
      <c r="G125" s="28" t="s">
        <v>107</v>
      </c>
      <c r="H125" s="102" cm="1">
        <f t="array" ref="H125">SUMPRODUCT(Tracking[Amount], --(Tracking[Date]&lt;=Tracking[[#This Row],[Date]]), (Tracking[Type]&lt;&gt;"Income")*(-1)+(Tracking[Type]="Income"))</f>
        <v>5906.1500000000015</v>
      </c>
      <c r="I12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45804</v>
      </c>
    </row>
    <row r="126" spans="3:9" x14ac:dyDescent="0.35">
      <c r="C126" s="27">
        <v>45804</v>
      </c>
      <c r="D126" s="26" t="s">
        <v>11</v>
      </c>
      <c r="E126" s="26" t="s">
        <v>10</v>
      </c>
      <c r="F126" s="99">
        <v>450</v>
      </c>
      <c r="G126" s="28" t="s">
        <v>107</v>
      </c>
      <c r="H126" s="102" cm="1">
        <f t="array" ref="H126">SUMPRODUCT(Tracking[Amount], --(Tracking[Date]&lt;=Tracking[[#This Row],[Date]]), (Tracking[Type]&lt;&gt;"Income")*(-1)+(Tracking[Type]="Income"))</f>
        <v>5906.1500000000015</v>
      </c>
      <c r="I12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45804</v>
      </c>
    </row>
    <row r="127" spans="3:9" x14ac:dyDescent="0.35">
      <c r="C127" s="27">
        <v>45805</v>
      </c>
      <c r="D127" s="26" t="s">
        <v>15</v>
      </c>
      <c r="E127" s="26" t="s">
        <v>16</v>
      </c>
      <c r="F127" s="99">
        <v>497.14</v>
      </c>
      <c r="G127" s="28" t="s">
        <v>107</v>
      </c>
      <c r="H127" s="102" cm="1">
        <f t="array" ref="H127">SUMPRODUCT(Tracking[Amount], --(Tracking[Date]&lt;=Tracking[[#This Row],[Date]]), (Tracking[Type]&lt;&gt;"Income")*(-1)+(Tracking[Type]="Income"))</f>
        <v>4166.880000000001</v>
      </c>
      <c r="I12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45805</v>
      </c>
    </row>
    <row r="128" spans="3:9" x14ac:dyDescent="0.35">
      <c r="C128" s="27">
        <v>45805</v>
      </c>
      <c r="D128" s="26" t="s">
        <v>11</v>
      </c>
      <c r="E128" s="26" t="s">
        <v>12</v>
      </c>
      <c r="F128" s="99">
        <v>1242.1300000000001</v>
      </c>
      <c r="G128" s="28" t="s">
        <v>107</v>
      </c>
      <c r="H128" s="102" cm="1">
        <f t="array" ref="H128">SUMPRODUCT(Tracking[Amount], --(Tracking[Date]&lt;=Tracking[[#This Row],[Date]]), (Tracking[Type]&lt;&gt;"Income")*(-1)+(Tracking[Type]="Income"))</f>
        <v>4166.880000000001</v>
      </c>
      <c r="I12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45805</v>
      </c>
    </row>
    <row r="129" spans="3:9" x14ac:dyDescent="0.35">
      <c r="C129" s="27">
        <v>45809</v>
      </c>
      <c r="D129" s="26" t="s">
        <v>11</v>
      </c>
      <c r="E129" s="26" t="s">
        <v>13</v>
      </c>
      <c r="F129" s="99">
        <v>1400</v>
      </c>
      <c r="G129" s="28" t="s">
        <v>107</v>
      </c>
      <c r="H129" s="102" cm="1">
        <f t="array" ref="H129">SUMPRODUCT(Tracking[Amount], --(Tracking[Date]&lt;=Tracking[[#This Row],[Date]]), (Tracking[Type]&lt;&gt;"Income")*(-1)+(Tracking[Type]="Income"))</f>
        <v>2151.9100000000008</v>
      </c>
      <c r="I12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45809</v>
      </c>
    </row>
    <row r="130" spans="3:9" x14ac:dyDescent="0.35">
      <c r="C130" s="27">
        <v>45809</v>
      </c>
      <c r="D130" s="26" t="s">
        <v>15</v>
      </c>
      <c r="E130" s="26" t="s">
        <v>17</v>
      </c>
      <c r="F130" s="99">
        <v>614.97</v>
      </c>
      <c r="G130" s="28" t="s">
        <v>107</v>
      </c>
      <c r="H130" s="102" cm="1">
        <f t="array" ref="H130">SUMPRODUCT(Tracking[Amount], --(Tracking[Date]&lt;=Tracking[[#This Row],[Date]]), (Tracking[Type]&lt;&gt;"Income")*(-1)+(Tracking[Type]="Income"))</f>
        <v>2151.9100000000008</v>
      </c>
      <c r="I13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45809</v>
      </c>
    </row>
    <row r="131" spans="3:9" x14ac:dyDescent="0.35">
      <c r="C131" s="27">
        <v>45810</v>
      </c>
      <c r="D131" s="26" t="s">
        <v>15</v>
      </c>
      <c r="E131" s="26" t="s">
        <v>10</v>
      </c>
      <c r="F131" s="99">
        <v>213.7</v>
      </c>
      <c r="G131" s="28" t="s">
        <v>107</v>
      </c>
      <c r="H131" s="102" cm="1">
        <f t="array" ref="H131">SUMPRODUCT(Tracking[Amount], --(Tracking[Date]&lt;=Tracking[[#This Row],[Date]]), (Tracking[Type]&lt;&gt;"Income")*(-1)+(Tracking[Type]="Income"))</f>
        <v>1938.2100000000007</v>
      </c>
      <c r="I13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45810</v>
      </c>
    </row>
    <row r="132" spans="3:9" x14ac:dyDescent="0.35">
      <c r="C132" s="27">
        <v>45814</v>
      </c>
      <c r="D132" s="26" t="s">
        <v>11</v>
      </c>
      <c r="E132" s="26" t="s">
        <v>12</v>
      </c>
      <c r="F132" s="99">
        <v>4200</v>
      </c>
      <c r="G132" s="28" t="s">
        <v>107</v>
      </c>
      <c r="H132" s="102" cm="1">
        <f t="array" ref="H132">SUMPRODUCT(Tracking[Amount], --(Tracking[Date]&lt;=Tracking[[#This Row],[Date]]), (Tracking[Type]&lt;&gt;"Income")*(-1)+(Tracking[Type]="Income"))</f>
        <v>-2261.7899999999991</v>
      </c>
      <c r="I13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45814</v>
      </c>
    </row>
    <row r="133" spans="3:9" x14ac:dyDescent="0.35">
      <c r="C133" s="27">
        <v>45816</v>
      </c>
      <c r="D133" s="26" t="s">
        <v>11</v>
      </c>
      <c r="E133" s="26" t="s">
        <v>10</v>
      </c>
      <c r="F133" s="99">
        <v>11.15</v>
      </c>
      <c r="G133" s="28" t="s">
        <v>107</v>
      </c>
      <c r="H133" s="102" cm="1">
        <f t="array" ref="H133">SUMPRODUCT(Tracking[Amount], --(Tracking[Date]&lt;=Tracking[[#This Row],[Date]]), (Tracking[Type]&lt;&gt;"Income")*(-1)+(Tracking[Type]="Income"))</f>
        <v>-2272.9399999999991</v>
      </c>
      <c r="I13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45816</v>
      </c>
    </row>
    <row r="134" spans="3:9" x14ac:dyDescent="0.35">
      <c r="C134" s="27">
        <v>45817</v>
      </c>
      <c r="D134" s="26" t="s">
        <v>15</v>
      </c>
      <c r="E134" s="26" t="s">
        <v>18</v>
      </c>
      <c r="F134" s="99">
        <v>795.95</v>
      </c>
      <c r="G134" s="28" t="s">
        <v>107</v>
      </c>
      <c r="H134" s="102" cm="1">
        <f t="array" ref="H134">SUMPRODUCT(Tracking[Amount], --(Tracking[Date]&lt;=Tracking[[#This Row],[Date]]), (Tracking[Type]&lt;&gt;"Income")*(-1)+(Tracking[Type]="Income"))</f>
        <v>-3015.4599999999996</v>
      </c>
      <c r="I13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45817</v>
      </c>
    </row>
    <row r="135" spans="3:9" x14ac:dyDescent="0.35">
      <c r="C135" s="27">
        <v>45817</v>
      </c>
      <c r="D135" s="26" t="s">
        <v>4</v>
      </c>
      <c r="E135" s="26" t="s">
        <v>10</v>
      </c>
      <c r="F135" s="99">
        <v>53.43</v>
      </c>
      <c r="G135" s="28" t="s">
        <v>107</v>
      </c>
      <c r="H135" s="102" cm="1">
        <f t="array" ref="H135">SUMPRODUCT(Tracking[Amount], --(Tracking[Date]&lt;=Tracking[[#This Row],[Date]]), (Tracking[Type]&lt;&gt;"Income")*(-1)+(Tracking[Type]="Income"))</f>
        <v>-3015.4599999999996</v>
      </c>
      <c r="I13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45817</v>
      </c>
    </row>
    <row r="136" spans="3:9" x14ac:dyDescent="0.35">
      <c r="C136" s="27">
        <v>45819</v>
      </c>
      <c r="D136" s="26" t="s">
        <v>4</v>
      </c>
      <c r="E136" s="26" t="s">
        <v>10</v>
      </c>
      <c r="F136" s="99">
        <v>96.57</v>
      </c>
      <c r="G136" s="28" t="s">
        <v>107</v>
      </c>
      <c r="H136" s="102" cm="1">
        <f t="array" ref="H136">SUMPRODUCT(Tracking[Amount], --(Tracking[Date]&lt;=Tracking[[#This Row],[Date]]), (Tracking[Type]&lt;&gt;"Income")*(-1)+(Tracking[Type]="Income"))</f>
        <v>-3703.9199999999992</v>
      </c>
      <c r="I13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45819</v>
      </c>
    </row>
    <row r="137" spans="3:9" x14ac:dyDescent="0.35">
      <c r="C137" s="27">
        <v>45819</v>
      </c>
      <c r="D137" s="26" t="s">
        <v>15</v>
      </c>
      <c r="E137" s="26" t="s">
        <v>17</v>
      </c>
      <c r="F137" s="99">
        <v>785.03</v>
      </c>
      <c r="G137" s="28" t="s">
        <v>107</v>
      </c>
      <c r="H137" s="102" cm="1">
        <f t="array" ref="H137">SUMPRODUCT(Tracking[Amount], --(Tracking[Date]&lt;=Tracking[[#This Row],[Date]]), (Tracking[Type]&lt;&gt;"Income")*(-1)+(Tracking[Type]="Income"))</f>
        <v>-3703.9199999999992</v>
      </c>
      <c r="I13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45819</v>
      </c>
    </row>
    <row r="138" spans="3:9" x14ac:dyDescent="0.35">
      <c r="C138" s="27">
        <v>45820</v>
      </c>
      <c r="D138" s="26" t="s">
        <v>4</v>
      </c>
      <c r="E138" s="26" t="s">
        <v>8</v>
      </c>
      <c r="F138" s="99">
        <v>1930.96</v>
      </c>
      <c r="G138" s="28" t="s">
        <v>107</v>
      </c>
      <c r="H138" s="102" cm="1">
        <f t="array" ref="H138">SUMPRODUCT(Tracking[Amount], --(Tracking[Date]&lt;=Tracking[[#This Row],[Date]]), (Tracking[Type]&lt;&gt;"Income")*(-1)+(Tracking[Type]="Income"))</f>
        <v>-1772.9599999999991</v>
      </c>
      <c r="I13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45820</v>
      </c>
    </row>
    <row r="139" spans="3:9" x14ac:dyDescent="0.35">
      <c r="C139" s="27">
        <v>45822</v>
      </c>
      <c r="D139" s="26" t="s">
        <v>15</v>
      </c>
      <c r="E139" s="26" t="s">
        <v>10</v>
      </c>
      <c r="F139" s="99">
        <v>86.3</v>
      </c>
      <c r="G139" s="28" t="s">
        <v>107</v>
      </c>
      <c r="H139" s="102" cm="1">
        <f t="array" ref="H139">SUMPRODUCT(Tracking[Amount], --(Tracking[Date]&lt;=Tracking[[#This Row],[Date]]), (Tracking[Type]&lt;&gt;"Income")*(-1)+(Tracking[Type]="Income"))</f>
        <v>-1859.2599999999991</v>
      </c>
      <c r="I13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45822</v>
      </c>
    </row>
    <row r="140" spans="3:9" x14ac:dyDescent="0.35">
      <c r="C140" s="27">
        <v>45823</v>
      </c>
      <c r="D140" s="26" t="s">
        <v>15</v>
      </c>
      <c r="E140" s="26" t="s">
        <v>16</v>
      </c>
      <c r="F140" s="99">
        <v>1200</v>
      </c>
      <c r="G140" s="28" t="s">
        <v>107</v>
      </c>
      <c r="H140" s="102" cm="1">
        <f t="array" ref="H140">SUMPRODUCT(Tracking[Amount], --(Tracking[Date]&lt;=Tracking[[#This Row],[Date]]), (Tracking[Type]&lt;&gt;"Income")*(-1)+(Tracking[Type]="Income"))</f>
        <v>-3059.2599999999993</v>
      </c>
      <c r="I14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45823</v>
      </c>
    </row>
    <row r="141" spans="3:9" x14ac:dyDescent="0.35">
      <c r="C141" s="27">
        <v>45824</v>
      </c>
      <c r="D141" s="26" t="s">
        <v>11</v>
      </c>
      <c r="E141" s="26" t="s">
        <v>103</v>
      </c>
      <c r="F141" s="99">
        <v>142.08000000000001</v>
      </c>
      <c r="G141" s="28" t="s">
        <v>107</v>
      </c>
      <c r="H141" s="102" cm="1">
        <f t="array" ref="H141">SUMPRODUCT(Tracking[Amount], --(Tracking[Date]&lt;=Tracking[[#This Row],[Date]]), (Tracking[Type]&lt;&gt;"Income")*(-1)+(Tracking[Type]="Income"))</f>
        <v>-3451.3399999999992</v>
      </c>
      <c r="I14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45824</v>
      </c>
    </row>
    <row r="142" spans="3:9" x14ac:dyDescent="0.35">
      <c r="C142" s="27">
        <v>45824</v>
      </c>
      <c r="D142" s="26" t="s">
        <v>11</v>
      </c>
      <c r="E142" s="26" t="s">
        <v>104</v>
      </c>
      <c r="F142" s="99">
        <v>250</v>
      </c>
      <c r="G142" s="28" t="s">
        <v>107</v>
      </c>
      <c r="H142" s="102" cm="1">
        <f t="array" ref="H142">SUMPRODUCT(Tracking[Amount], --(Tracking[Date]&lt;=Tracking[[#This Row],[Date]]), (Tracking[Type]&lt;&gt;"Income")*(-1)+(Tracking[Type]="Income"))</f>
        <v>-3451.3399999999992</v>
      </c>
      <c r="I14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45824</v>
      </c>
    </row>
    <row r="143" spans="3:9" x14ac:dyDescent="0.35">
      <c r="C143" s="27">
        <v>45826</v>
      </c>
      <c r="D143" s="26" t="s">
        <v>11</v>
      </c>
      <c r="E143" s="26" t="s">
        <v>103</v>
      </c>
      <c r="F143" s="99">
        <v>157.91999999999999</v>
      </c>
      <c r="G143" s="28" t="s">
        <v>107</v>
      </c>
      <c r="H143" s="102" cm="1">
        <f t="array" ref="H143">SUMPRODUCT(Tracking[Amount], --(Tracking[Date]&lt;=Tracking[[#This Row],[Date]]), (Tracking[Type]&lt;&gt;"Income")*(-1)+(Tracking[Type]="Income"))</f>
        <v>-3609.2599999999993</v>
      </c>
      <c r="I14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45826</v>
      </c>
    </row>
    <row r="144" spans="3:9" x14ac:dyDescent="0.35">
      <c r="C144" s="27">
        <v>45827</v>
      </c>
      <c r="D144" s="26" t="s">
        <v>4</v>
      </c>
      <c r="E144" s="26" t="s">
        <v>8</v>
      </c>
      <c r="F144" s="99">
        <v>1169.04</v>
      </c>
      <c r="G144" s="28" t="s">
        <v>107</v>
      </c>
      <c r="H144" s="102" cm="1">
        <f t="array" ref="H144">SUMPRODUCT(Tracking[Amount], --(Tracking[Date]&lt;=Tracking[[#This Row],[Date]]), (Tracking[Type]&lt;&gt;"Income")*(-1)+(Tracking[Type]="Income"))</f>
        <v>-2440.2199999999993</v>
      </c>
      <c r="I14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45827</v>
      </c>
    </row>
    <row r="145" spans="3:9" x14ac:dyDescent="0.35">
      <c r="C145" s="27">
        <v>45828</v>
      </c>
      <c r="D145" s="26" t="s">
        <v>11</v>
      </c>
      <c r="E145" s="26" t="s">
        <v>10</v>
      </c>
      <c r="F145" s="99">
        <v>68.59</v>
      </c>
      <c r="G145" s="28" t="s">
        <v>107</v>
      </c>
      <c r="H145" s="102" cm="1">
        <f t="array" ref="H145">SUMPRODUCT(Tracking[Amount], --(Tracking[Date]&lt;=Tracking[[#This Row],[Date]]), (Tracking[Type]&lt;&gt;"Income")*(-1)+(Tracking[Type]="Income"))</f>
        <v>-2508.8099999999995</v>
      </c>
      <c r="I14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45828</v>
      </c>
    </row>
    <row r="146" spans="3:9" x14ac:dyDescent="0.35">
      <c r="C146" s="27">
        <v>45829</v>
      </c>
      <c r="D146" s="26" t="s">
        <v>4</v>
      </c>
      <c r="E146" s="26" t="s">
        <v>7</v>
      </c>
      <c r="F146" s="99">
        <v>8800</v>
      </c>
      <c r="G146" s="28" t="s">
        <v>107</v>
      </c>
      <c r="H146" s="102" cm="1">
        <f t="array" ref="H146">SUMPRODUCT(Tracking[Amount], --(Tracking[Date]&lt;=Tracking[[#This Row],[Date]]), (Tracking[Type]&lt;&gt;"Income")*(-1)+(Tracking[Type]="Income"))</f>
        <v>6291.1900000000005</v>
      </c>
      <c r="I14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45839</v>
      </c>
    </row>
    <row r="147" spans="3:9" x14ac:dyDescent="0.35">
      <c r="C147" s="27">
        <v>45831</v>
      </c>
      <c r="D147" s="26" t="s">
        <v>4</v>
      </c>
      <c r="E147" s="26" t="s">
        <v>9</v>
      </c>
      <c r="F147" s="99">
        <v>500</v>
      </c>
      <c r="G147" s="28" t="s">
        <v>107</v>
      </c>
      <c r="H147" s="102" cm="1">
        <f t="array" ref="H147">SUMPRODUCT(Tracking[Amount], --(Tracking[Date]&lt;=Tracking[[#This Row],[Date]]), (Tracking[Type]&lt;&gt;"Income")*(-1)+(Tracking[Type]="Income"))</f>
        <v>6791.1900000000005</v>
      </c>
      <c r="I14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45839</v>
      </c>
    </row>
    <row r="148" spans="3:9" x14ac:dyDescent="0.35">
      <c r="C148" s="27">
        <v>45836</v>
      </c>
      <c r="D148" s="26" t="s">
        <v>11</v>
      </c>
      <c r="E148" s="26" t="s">
        <v>10</v>
      </c>
      <c r="F148" s="99">
        <v>70.260000000000005</v>
      </c>
      <c r="G148" s="28" t="s">
        <v>107</v>
      </c>
      <c r="H148" s="102" cm="1">
        <f t="array" ref="H148">SUMPRODUCT(Tracking[Amount], --(Tracking[Date]&lt;=Tracking[[#This Row],[Date]]), (Tracking[Type]&lt;&gt;"Income")*(-1)+(Tracking[Type]="Income"))</f>
        <v>6516.88</v>
      </c>
      <c r="I14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45836</v>
      </c>
    </row>
    <row r="149" spans="3:9" x14ac:dyDescent="0.35">
      <c r="C149" s="27">
        <v>45836</v>
      </c>
      <c r="D149" s="26" t="s">
        <v>15</v>
      </c>
      <c r="E149" s="26" t="s">
        <v>18</v>
      </c>
      <c r="F149" s="99">
        <v>204.05</v>
      </c>
      <c r="G149" s="28" t="s">
        <v>107</v>
      </c>
      <c r="H149" s="102" cm="1">
        <f t="array" ref="H149">SUMPRODUCT(Tracking[Amount], --(Tracking[Date]&lt;=Tracking[[#This Row],[Date]]), (Tracking[Type]&lt;&gt;"Income")*(-1)+(Tracking[Type]="Income"))</f>
        <v>6516.88</v>
      </c>
      <c r="I14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45836</v>
      </c>
    </row>
    <row r="150" spans="3:9" x14ac:dyDescent="0.35">
      <c r="C150" s="27">
        <v>45839</v>
      </c>
      <c r="D150" s="26" t="s">
        <v>15</v>
      </c>
      <c r="E150" s="26" t="s">
        <v>10</v>
      </c>
      <c r="F150" s="99">
        <v>200</v>
      </c>
      <c r="G150" s="28" t="s">
        <v>107</v>
      </c>
      <c r="H150" s="102" cm="1">
        <f t="array" ref="H150">SUMPRODUCT(Tracking[Amount], --(Tracking[Date]&lt;=Tracking[[#This Row],[Date]]), (Tracking[Type]&lt;&gt;"Income")*(-1)+(Tracking[Type]="Income"))</f>
        <v>6316.88</v>
      </c>
      <c r="I15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45839</v>
      </c>
    </row>
    <row r="151" spans="3:9" x14ac:dyDescent="0.35">
      <c r="C151" s="27">
        <v>45840</v>
      </c>
      <c r="D151" s="26" t="s">
        <v>15</v>
      </c>
      <c r="E151" s="26" t="s">
        <v>16</v>
      </c>
      <c r="F151" s="99">
        <v>1048.26</v>
      </c>
      <c r="G151" s="28" t="s">
        <v>107</v>
      </c>
      <c r="H151" s="102" cm="1">
        <f t="array" ref="H151">SUMPRODUCT(Tracking[Amount], --(Tracking[Date]&lt;=Tracking[[#This Row],[Date]]), (Tracking[Type]&lt;&gt;"Income")*(-1)+(Tracking[Type]="Income"))</f>
        <v>5172.6099999999997</v>
      </c>
      <c r="I15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45840</v>
      </c>
    </row>
    <row r="152" spans="3:9" x14ac:dyDescent="0.35">
      <c r="C152" s="27">
        <v>45840</v>
      </c>
      <c r="D152" s="26" t="s">
        <v>11</v>
      </c>
      <c r="E152" s="26" t="s">
        <v>104</v>
      </c>
      <c r="F152" s="99">
        <v>96.01</v>
      </c>
      <c r="G152" s="28" t="s">
        <v>107</v>
      </c>
      <c r="H152" s="102" cm="1">
        <f t="array" ref="H152">SUMPRODUCT(Tracking[Amount], --(Tracking[Date]&lt;=Tracking[[#This Row],[Date]]), (Tracking[Type]&lt;&gt;"Income")*(-1)+(Tracking[Type]="Income"))</f>
        <v>5172.6099999999997</v>
      </c>
      <c r="I15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45840</v>
      </c>
    </row>
    <row r="153" spans="3:9" x14ac:dyDescent="0.35">
      <c r="C153" s="27">
        <v>45841</v>
      </c>
      <c r="D153" s="26" t="s">
        <v>11</v>
      </c>
      <c r="E153" s="26" t="s">
        <v>103</v>
      </c>
      <c r="F153" s="99">
        <v>427.61</v>
      </c>
      <c r="G153" s="28" t="s">
        <v>107</v>
      </c>
      <c r="H153" s="102" cm="1">
        <f t="array" ref="H153">SUMPRODUCT(Tracking[Amount], --(Tracking[Date]&lt;=Tracking[[#This Row],[Date]]), (Tracking[Type]&lt;&gt;"Income")*(-1)+(Tracking[Type]="Income"))</f>
        <v>4745</v>
      </c>
      <c r="I15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45841</v>
      </c>
    </row>
    <row r="154" spans="3:9" x14ac:dyDescent="0.35">
      <c r="C154" s="27">
        <v>45842</v>
      </c>
      <c r="D154" s="26" t="s">
        <v>11</v>
      </c>
      <c r="E154" s="26" t="s">
        <v>13</v>
      </c>
      <c r="F154" s="99">
        <v>432.21</v>
      </c>
      <c r="G154" s="28" t="s">
        <v>107</v>
      </c>
      <c r="H154" s="102" cm="1">
        <f t="array" ref="H154">SUMPRODUCT(Tracking[Amount], --(Tracking[Date]&lt;=Tracking[[#This Row],[Date]]), (Tracking[Type]&lt;&gt;"Income")*(-1)+(Tracking[Type]="Income"))</f>
        <v>4312.79</v>
      </c>
      <c r="I15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45842</v>
      </c>
    </row>
    <row r="155" spans="3:9" x14ac:dyDescent="0.35">
      <c r="C155" s="27">
        <v>45843</v>
      </c>
      <c r="D155" s="26" t="s">
        <v>11</v>
      </c>
      <c r="E155" s="26" t="s">
        <v>10</v>
      </c>
      <c r="F155" s="99">
        <v>54.61</v>
      </c>
      <c r="G155" s="28" t="s">
        <v>107</v>
      </c>
      <c r="H155" s="102" cm="1">
        <f t="array" ref="H155">SUMPRODUCT(Tracking[Amount], --(Tracking[Date]&lt;=Tracking[[#This Row],[Date]]), (Tracking[Type]&lt;&gt;"Income")*(-1)+(Tracking[Type]="Income"))</f>
        <v>4258.18</v>
      </c>
      <c r="I15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45843</v>
      </c>
    </row>
    <row r="156" spans="3:9" x14ac:dyDescent="0.35">
      <c r="C156" s="27">
        <v>45845</v>
      </c>
      <c r="D156" s="26" t="s">
        <v>11</v>
      </c>
      <c r="E156" s="26" t="s">
        <v>12</v>
      </c>
      <c r="F156" s="99">
        <v>486.06</v>
      </c>
      <c r="G156" s="28" t="s">
        <v>107</v>
      </c>
      <c r="H156" s="102" cm="1">
        <f t="array" ref="H156">SUMPRODUCT(Tracking[Amount], --(Tracking[Date]&lt;=Tracking[[#This Row],[Date]]), (Tracking[Type]&lt;&gt;"Income")*(-1)+(Tracking[Type]="Income"))</f>
        <v>5172.1200000000008</v>
      </c>
      <c r="I15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45845</v>
      </c>
    </row>
    <row r="157" spans="3:9" x14ac:dyDescent="0.35">
      <c r="C157" s="27">
        <v>45845</v>
      </c>
      <c r="D157" s="26" t="s">
        <v>15</v>
      </c>
      <c r="E157" s="26" t="s">
        <v>17</v>
      </c>
      <c r="F157" s="99">
        <v>1400</v>
      </c>
      <c r="G157" s="28" t="s">
        <v>107</v>
      </c>
      <c r="H157" s="102" cm="1">
        <f t="array" ref="H157">SUMPRODUCT(Tracking[Amount], --(Tracking[Date]&lt;=Tracking[[#This Row],[Date]]), (Tracking[Type]&lt;&gt;"Income")*(-1)+(Tracking[Type]="Income"))</f>
        <v>5172.1200000000008</v>
      </c>
      <c r="I15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45845</v>
      </c>
    </row>
    <row r="158" spans="3:9" x14ac:dyDescent="0.35">
      <c r="C158" s="27">
        <v>45845</v>
      </c>
      <c r="D158" s="26" t="s">
        <v>4</v>
      </c>
      <c r="E158" s="26" t="s">
        <v>8</v>
      </c>
      <c r="F158" s="99">
        <v>2800</v>
      </c>
      <c r="G158" s="28" t="s">
        <v>107</v>
      </c>
      <c r="H158" s="102" cm="1">
        <f t="array" ref="H158">SUMPRODUCT(Tracking[Amount], --(Tracking[Date]&lt;=Tracking[[#This Row],[Date]]), (Tracking[Type]&lt;&gt;"Income")*(-1)+(Tracking[Type]="Income"))</f>
        <v>5172.1200000000008</v>
      </c>
      <c r="I15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45845</v>
      </c>
    </row>
    <row r="159" spans="3:9" x14ac:dyDescent="0.35">
      <c r="C159" s="27">
        <v>45846</v>
      </c>
      <c r="D159" s="26" t="s">
        <v>15</v>
      </c>
      <c r="E159" s="26" t="s">
        <v>16</v>
      </c>
      <c r="F159" s="99">
        <v>151.74</v>
      </c>
      <c r="G159" s="28" t="s">
        <v>107</v>
      </c>
      <c r="H159" s="102" cm="1">
        <f t="array" ref="H159">SUMPRODUCT(Tracking[Amount], --(Tracking[Date]&lt;=Tracking[[#This Row],[Date]]), (Tracking[Type]&lt;&gt;"Income")*(-1)+(Tracking[Type]="Income"))</f>
        <v>5020.380000000001</v>
      </c>
      <c r="I15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45846</v>
      </c>
    </row>
    <row r="160" spans="3:9" x14ac:dyDescent="0.35">
      <c r="C160" s="27">
        <v>45847</v>
      </c>
      <c r="D160" s="26" t="s">
        <v>4</v>
      </c>
      <c r="E160" s="26" t="s">
        <v>10</v>
      </c>
      <c r="F160" s="99">
        <v>600</v>
      </c>
      <c r="G160" s="28" t="s">
        <v>107</v>
      </c>
      <c r="H160" s="102" cm="1">
        <f t="array" ref="H160">SUMPRODUCT(Tracking[Amount], --(Tracking[Date]&lt;=Tracking[[#This Row],[Date]]), (Tracking[Type]&lt;&gt;"Income")*(-1)+(Tracking[Type]="Income"))</f>
        <v>5620.380000000001</v>
      </c>
      <c r="I16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45847</v>
      </c>
    </row>
    <row r="161" spans="3:9" x14ac:dyDescent="0.35">
      <c r="C161" s="27">
        <v>45848</v>
      </c>
      <c r="D161" s="26" t="s">
        <v>11</v>
      </c>
      <c r="E161" s="26" t="s">
        <v>12</v>
      </c>
      <c r="F161" s="99">
        <v>2157.8000000000002</v>
      </c>
      <c r="G161" s="28" t="s">
        <v>107</v>
      </c>
      <c r="H161" s="102" cm="1">
        <f t="array" ref="H161">SUMPRODUCT(Tracking[Amount], --(Tracking[Date]&lt;=Tracking[[#This Row],[Date]]), (Tracking[Type]&lt;&gt;"Income")*(-1)+(Tracking[Type]="Income"))</f>
        <v>3462.5800000000008</v>
      </c>
      <c r="I16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45848</v>
      </c>
    </row>
    <row r="162" spans="3:9" x14ac:dyDescent="0.35">
      <c r="C162" s="27">
        <v>45850</v>
      </c>
      <c r="D162" s="26" t="s">
        <v>11</v>
      </c>
      <c r="E162" s="26" t="s">
        <v>10</v>
      </c>
      <c r="F162" s="99">
        <v>95.39</v>
      </c>
      <c r="G162" s="28" t="s">
        <v>107</v>
      </c>
      <c r="H162" s="102" cm="1">
        <f t="array" ref="H162">SUMPRODUCT(Tracking[Amount], --(Tracking[Date]&lt;=Tracking[[#This Row],[Date]]), (Tracking[Type]&lt;&gt;"Income")*(-1)+(Tracking[Type]="Income"))</f>
        <v>3367.190000000001</v>
      </c>
      <c r="I16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45850</v>
      </c>
    </row>
    <row r="163" spans="3:9" x14ac:dyDescent="0.35">
      <c r="C163" s="27">
        <v>45851</v>
      </c>
      <c r="D163" s="26" t="s">
        <v>11</v>
      </c>
      <c r="E163" s="26" t="s">
        <v>103</v>
      </c>
      <c r="F163" s="99">
        <v>153.24</v>
      </c>
      <c r="G163" s="28" t="s">
        <v>107</v>
      </c>
      <c r="H163" s="102" cm="1">
        <f t="array" ref="H163">SUMPRODUCT(Tracking[Amount], --(Tracking[Date]&lt;=Tracking[[#This Row],[Date]]), (Tracking[Type]&lt;&gt;"Income")*(-1)+(Tracking[Type]="Income"))</f>
        <v>2313.9500000000007</v>
      </c>
      <c r="I16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45851</v>
      </c>
    </row>
    <row r="164" spans="3:9" x14ac:dyDescent="0.35">
      <c r="C164" s="27">
        <v>45851</v>
      </c>
      <c r="D164" s="26" t="s">
        <v>15</v>
      </c>
      <c r="E164" s="26" t="s">
        <v>18</v>
      </c>
      <c r="F164" s="99">
        <v>900</v>
      </c>
      <c r="G164" s="28" t="s">
        <v>107</v>
      </c>
      <c r="H164" s="102" cm="1">
        <f t="array" ref="H164">SUMPRODUCT(Tracking[Amount], --(Tracking[Date]&lt;=Tracking[[#This Row],[Date]]), (Tracking[Type]&lt;&gt;"Income")*(-1)+(Tracking[Type]="Income"))</f>
        <v>2313.9500000000007</v>
      </c>
      <c r="I16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45851</v>
      </c>
    </row>
    <row r="165" spans="3:9" x14ac:dyDescent="0.35">
      <c r="C165" s="27">
        <v>45853</v>
      </c>
      <c r="D165" s="26" t="s">
        <v>11</v>
      </c>
      <c r="E165" s="26" t="s">
        <v>13</v>
      </c>
      <c r="F165" s="99">
        <v>1017.79</v>
      </c>
      <c r="G165" s="28" t="s">
        <v>107</v>
      </c>
      <c r="H165" s="102" cm="1">
        <f t="array" ref="H165">SUMPRODUCT(Tracking[Amount], --(Tracking[Date]&lt;=Tracking[[#This Row],[Date]]), (Tracking[Type]&lt;&gt;"Income")*(-1)+(Tracking[Type]="Income"))</f>
        <v>1296.1600000000008</v>
      </c>
      <c r="I16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45853</v>
      </c>
    </row>
    <row r="166" spans="3:9" x14ac:dyDescent="0.35">
      <c r="C166" s="27">
        <v>45854</v>
      </c>
      <c r="D166" s="26" t="s">
        <v>4</v>
      </c>
      <c r="E166" s="26" t="s">
        <v>7</v>
      </c>
      <c r="F166" s="99">
        <v>8800</v>
      </c>
      <c r="G166" s="28" t="s">
        <v>107</v>
      </c>
      <c r="H166" s="102" cm="1">
        <f t="array" ref="H166">SUMPRODUCT(Tracking[Amount], --(Tracking[Date]&lt;=Tracking[[#This Row],[Date]]), (Tracking[Type]&lt;&gt;"Income")*(-1)+(Tracking[Type]="Income"))</f>
        <v>8540.02</v>
      </c>
      <c r="I16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45854</v>
      </c>
    </row>
    <row r="167" spans="3:9" x14ac:dyDescent="0.35">
      <c r="C167" s="27">
        <v>45854</v>
      </c>
      <c r="D167" s="26" t="s">
        <v>11</v>
      </c>
      <c r="E167" s="26" t="s">
        <v>12</v>
      </c>
      <c r="F167" s="99">
        <v>1556.14</v>
      </c>
      <c r="G167" s="28" t="s">
        <v>107</v>
      </c>
      <c r="H167" s="102" cm="1">
        <f t="array" ref="H167">SUMPRODUCT(Tracking[Amount], --(Tracking[Date]&lt;=Tracking[[#This Row],[Date]]), (Tracking[Type]&lt;&gt;"Income")*(-1)+(Tracking[Type]="Income"))</f>
        <v>8540.02</v>
      </c>
      <c r="I16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45854</v>
      </c>
    </row>
    <row r="168" spans="3:9" x14ac:dyDescent="0.35">
      <c r="C168" s="27">
        <v>45857</v>
      </c>
      <c r="D168" s="26" t="s">
        <v>11</v>
      </c>
      <c r="E168" s="26" t="s">
        <v>104</v>
      </c>
      <c r="F168" s="99">
        <v>53.99</v>
      </c>
      <c r="G168" s="28" t="s">
        <v>107</v>
      </c>
      <c r="H168" s="102" cm="1">
        <f t="array" ref="H168">SUMPRODUCT(Tracking[Amount], --(Tracking[Date]&lt;=Tracking[[#This Row],[Date]]), (Tracking[Type]&lt;&gt;"Income")*(-1)+(Tracking[Type]="Income"))</f>
        <v>8486.0300000000007</v>
      </c>
      <c r="I16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45857</v>
      </c>
    </row>
    <row r="169" spans="3:9" x14ac:dyDescent="0.35">
      <c r="C169" s="27">
        <v>45859</v>
      </c>
      <c r="D169" s="26" t="s">
        <v>11</v>
      </c>
      <c r="E169" s="26" t="s">
        <v>103</v>
      </c>
      <c r="F169" s="99">
        <v>219.15</v>
      </c>
      <c r="G169" s="28" t="s">
        <v>107</v>
      </c>
      <c r="H169" s="102" cm="1">
        <f t="array" ref="H169">SUMPRODUCT(Tracking[Amount], --(Tracking[Date]&lt;=Tracking[[#This Row],[Date]]), (Tracking[Type]&lt;&gt;"Income")*(-1)+(Tracking[Type]="Income"))</f>
        <v>8266.880000000001</v>
      </c>
      <c r="I16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45859</v>
      </c>
    </row>
    <row r="170" spans="3:9" x14ac:dyDescent="0.35">
      <c r="C170" s="27">
        <v>45871</v>
      </c>
      <c r="D170" s="26" t="s">
        <v>4</v>
      </c>
      <c r="E170" s="26" t="s">
        <v>7</v>
      </c>
      <c r="F170" s="99">
        <v>5017.84</v>
      </c>
      <c r="G170" s="28" t="s">
        <v>107</v>
      </c>
      <c r="H170" s="102" cm="1">
        <f t="array" ref="H170">SUMPRODUCT(Tracking[Amount], --(Tracking[Date]&lt;=Tracking[[#This Row],[Date]]), (Tracking[Type]&lt;&gt;"Income")*(-1)+(Tracking[Type]="Income"))</f>
        <v>13212.490000000002</v>
      </c>
      <c r="I17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45871</v>
      </c>
    </row>
    <row r="171" spans="3:9" x14ac:dyDescent="0.35">
      <c r="C171" s="27">
        <v>45871</v>
      </c>
      <c r="D171" s="26" t="s">
        <v>15</v>
      </c>
      <c r="E171" s="26" t="s">
        <v>10</v>
      </c>
      <c r="F171" s="99">
        <v>72.23</v>
      </c>
      <c r="G171" s="28" t="s">
        <v>107</v>
      </c>
      <c r="H171" s="102" cm="1">
        <f t="array" ref="H171">SUMPRODUCT(Tracking[Amount], --(Tracking[Date]&lt;=Tracking[[#This Row],[Date]]), (Tracking[Type]&lt;&gt;"Income")*(-1)+(Tracking[Type]="Income"))</f>
        <v>13212.490000000002</v>
      </c>
      <c r="I17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45871</v>
      </c>
    </row>
    <row r="172" spans="3:9" x14ac:dyDescent="0.35">
      <c r="C172" s="27">
        <v>45872</v>
      </c>
      <c r="D172" s="26" t="s">
        <v>11</v>
      </c>
      <c r="E172" s="26" t="s">
        <v>103</v>
      </c>
      <c r="F172" s="99">
        <v>117.99</v>
      </c>
      <c r="G172" s="28" t="s">
        <v>107</v>
      </c>
      <c r="H172" s="102" cm="1">
        <f t="array" ref="H172">SUMPRODUCT(Tracking[Amount], --(Tracking[Date]&lt;=Tracking[[#This Row],[Date]]), (Tracking[Type]&lt;&gt;"Income")*(-1)+(Tracking[Type]="Income"))</f>
        <v>13094.500000000002</v>
      </c>
      <c r="I17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45872</v>
      </c>
    </row>
    <row r="173" spans="3:9" x14ac:dyDescent="0.35">
      <c r="C173" s="27">
        <v>45873</v>
      </c>
      <c r="D173" s="26" t="s">
        <v>15</v>
      </c>
      <c r="E173" s="26" t="s">
        <v>10</v>
      </c>
      <c r="F173" s="99">
        <v>77.77</v>
      </c>
      <c r="G173" s="28" t="s">
        <v>107</v>
      </c>
      <c r="H173" s="102" cm="1">
        <f t="array" ref="H173">SUMPRODUCT(Tracking[Amount], --(Tracking[Date]&lt;=Tracking[[#This Row],[Date]]), (Tracking[Type]&lt;&gt;"Income")*(-1)+(Tracking[Type]="Income"))</f>
        <v>14271.210000000001</v>
      </c>
      <c r="I17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45873</v>
      </c>
    </row>
    <row r="174" spans="3:9" x14ac:dyDescent="0.35">
      <c r="C174" s="27">
        <v>45873</v>
      </c>
      <c r="D174" s="26" t="s">
        <v>4</v>
      </c>
      <c r="E174" s="26" t="s">
        <v>8</v>
      </c>
      <c r="F174" s="99">
        <v>1254.48</v>
      </c>
      <c r="G174" s="28" t="s">
        <v>107</v>
      </c>
      <c r="H174" s="102" cm="1">
        <f t="array" ref="H174">SUMPRODUCT(Tracking[Amount], --(Tracking[Date]&lt;=Tracking[[#This Row],[Date]]), (Tracking[Type]&lt;&gt;"Income")*(-1)+(Tracking[Type]="Income"))</f>
        <v>14271.210000000001</v>
      </c>
      <c r="I17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45873</v>
      </c>
    </row>
    <row r="175" spans="3:9" x14ac:dyDescent="0.35">
      <c r="C175" s="27">
        <v>45874</v>
      </c>
      <c r="D175" s="26" t="s">
        <v>15</v>
      </c>
      <c r="E175" s="26" t="s">
        <v>16</v>
      </c>
      <c r="F175" s="99">
        <v>1200</v>
      </c>
      <c r="G175" s="28" t="s">
        <v>107</v>
      </c>
      <c r="H175" s="102" cm="1">
        <f t="array" ref="H175">SUMPRODUCT(Tracking[Amount], --(Tracking[Date]&lt;=Tracking[[#This Row],[Date]]), (Tracking[Type]&lt;&gt;"Income")*(-1)+(Tracking[Type]="Income"))</f>
        <v>13071.210000000001</v>
      </c>
      <c r="I17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45874</v>
      </c>
    </row>
    <row r="176" spans="3:9" x14ac:dyDescent="0.35">
      <c r="C176" s="27">
        <v>45876</v>
      </c>
      <c r="D176" s="26" t="s">
        <v>4</v>
      </c>
      <c r="E176" s="26" t="s">
        <v>10</v>
      </c>
      <c r="F176" s="99">
        <v>44.95</v>
      </c>
      <c r="G176" s="28" t="s">
        <v>107</v>
      </c>
      <c r="H176" s="102" cm="1">
        <f t="array" ref="H176">SUMPRODUCT(Tracking[Amount], --(Tracking[Date]&lt;=Tracking[[#This Row],[Date]]), (Tracking[Type]&lt;&gt;"Income")*(-1)+(Tracking[Type]="Income"))</f>
        <v>13116.160000000002</v>
      </c>
      <c r="I17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45876</v>
      </c>
    </row>
    <row r="177" spans="3:9" x14ac:dyDescent="0.35">
      <c r="C177" s="27">
        <v>45877</v>
      </c>
      <c r="D177" s="26" t="s">
        <v>4</v>
      </c>
      <c r="E177" s="26" t="s">
        <v>7</v>
      </c>
      <c r="F177" s="99">
        <v>4182.16</v>
      </c>
      <c r="G177" s="28" t="s">
        <v>107</v>
      </c>
      <c r="H177" s="102" cm="1">
        <f t="array" ref="H177">SUMPRODUCT(Tracking[Amount], --(Tracking[Date]&lt;=Tracking[[#This Row],[Date]]), (Tracking[Type]&lt;&gt;"Income")*(-1)+(Tracking[Type]="Income"))</f>
        <v>16740.13</v>
      </c>
      <c r="I17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45877</v>
      </c>
    </row>
    <row r="178" spans="3:9" x14ac:dyDescent="0.35">
      <c r="C178" s="27">
        <v>45877</v>
      </c>
      <c r="D178" s="26" t="s">
        <v>11</v>
      </c>
      <c r="E178" s="26" t="s">
        <v>13</v>
      </c>
      <c r="F178" s="99">
        <v>558.19000000000005</v>
      </c>
      <c r="G178" s="28" t="s">
        <v>107</v>
      </c>
      <c r="H178" s="102" cm="1">
        <f t="array" ref="H178">SUMPRODUCT(Tracking[Amount], --(Tracking[Date]&lt;=Tracking[[#This Row],[Date]]), (Tracking[Type]&lt;&gt;"Income")*(-1)+(Tracking[Type]="Income"))</f>
        <v>16740.13</v>
      </c>
      <c r="I17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45877</v>
      </c>
    </row>
    <row r="179" spans="3:9" x14ac:dyDescent="0.35">
      <c r="C179" s="27">
        <v>45879</v>
      </c>
      <c r="D179" s="26" t="s">
        <v>11</v>
      </c>
      <c r="E179" s="26" t="s">
        <v>104</v>
      </c>
      <c r="F179" s="99">
        <v>150</v>
      </c>
      <c r="G179" s="28" t="s">
        <v>107</v>
      </c>
      <c r="H179" s="102" cm="1">
        <f t="array" ref="H179">SUMPRODUCT(Tracking[Amount], --(Tracking[Date]&lt;=Tracking[[#This Row],[Date]]), (Tracking[Type]&lt;&gt;"Income")*(-1)+(Tracking[Type]="Income"))</f>
        <v>17535.650000000001</v>
      </c>
      <c r="I17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45879</v>
      </c>
    </row>
    <row r="180" spans="3:9" x14ac:dyDescent="0.35">
      <c r="C180" s="27">
        <v>45879</v>
      </c>
      <c r="D180" s="26" t="s">
        <v>4</v>
      </c>
      <c r="E180" s="26" t="s">
        <v>8</v>
      </c>
      <c r="F180" s="99">
        <v>945.52</v>
      </c>
      <c r="G180" s="28" t="s">
        <v>107</v>
      </c>
      <c r="H180" s="102" cm="1">
        <f t="array" ref="H180">SUMPRODUCT(Tracking[Amount], --(Tracking[Date]&lt;=Tracking[[#This Row],[Date]]), (Tracking[Type]&lt;&gt;"Income")*(-1)+(Tracking[Type]="Income"))</f>
        <v>17535.650000000001</v>
      </c>
      <c r="I18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45879</v>
      </c>
    </row>
    <row r="181" spans="3:9" x14ac:dyDescent="0.35">
      <c r="C181" s="27">
        <v>45881</v>
      </c>
      <c r="D181" s="26" t="s">
        <v>15</v>
      </c>
      <c r="E181" s="26" t="s">
        <v>18</v>
      </c>
      <c r="F181" s="99">
        <v>36.729999999999997</v>
      </c>
      <c r="G181" s="28" t="s">
        <v>107</v>
      </c>
      <c r="H181" s="102" cm="1">
        <f t="array" ref="H181">SUMPRODUCT(Tracking[Amount], --(Tracking[Date]&lt;=Tracking[[#This Row],[Date]]), (Tracking[Type]&lt;&gt;"Income")*(-1)+(Tracking[Type]="Income"))</f>
        <v>17498.920000000002</v>
      </c>
      <c r="I18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45881</v>
      </c>
    </row>
    <row r="182" spans="3:9" x14ac:dyDescent="0.35">
      <c r="C182" s="27">
        <v>45882</v>
      </c>
      <c r="D182" s="26" t="s">
        <v>11</v>
      </c>
      <c r="E182" s="26" t="s">
        <v>103</v>
      </c>
      <c r="F182" s="99">
        <v>179.84</v>
      </c>
      <c r="G182" s="28" t="s">
        <v>107</v>
      </c>
      <c r="H182" s="102" cm="1">
        <f t="array" ref="H182">SUMPRODUCT(Tracking[Amount], --(Tracking[Date]&lt;=Tracking[[#This Row],[Date]]), (Tracking[Type]&lt;&gt;"Income")*(-1)+(Tracking[Type]="Income"))</f>
        <v>17319.080000000002</v>
      </c>
      <c r="I18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45882</v>
      </c>
    </row>
    <row r="183" spans="3:9" x14ac:dyDescent="0.35">
      <c r="C183" s="27">
        <v>45883</v>
      </c>
      <c r="D183" s="26" t="s">
        <v>11</v>
      </c>
      <c r="E183" s="26" t="s">
        <v>13</v>
      </c>
      <c r="F183" s="99">
        <v>941.81</v>
      </c>
      <c r="G183" s="28" t="s">
        <v>107</v>
      </c>
      <c r="H183" s="102" cm="1">
        <f t="array" ref="H183">SUMPRODUCT(Tracking[Amount], --(Tracking[Date]&lt;=Tracking[[#This Row],[Date]]), (Tracking[Type]&lt;&gt;"Income")*(-1)+(Tracking[Type]="Income"))</f>
        <v>16377.270000000002</v>
      </c>
      <c r="I18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45883</v>
      </c>
    </row>
    <row r="184" spans="3:9" x14ac:dyDescent="0.35">
      <c r="C184" s="27">
        <v>45884</v>
      </c>
      <c r="D184" s="26" t="s">
        <v>15</v>
      </c>
      <c r="E184" s="26" t="s">
        <v>17</v>
      </c>
      <c r="F184" s="99">
        <v>1400</v>
      </c>
      <c r="G184" s="28" t="s">
        <v>107</v>
      </c>
      <c r="H184" s="102" cm="1">
        <f t="array" ref="H184">SUMPRODUCT(Tracking[Amount], --(Tracking[Date]&lt;=Tracking[[#This Row],[Date]]), (Tracking[Type]&lt;&gt;"Income")*(-1)+(Tracking[Type]="Income"))</f>
        <v>14977.270000000002</v>
      </c>
      <c r="I18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45884</v>
      </c>
    </row>
    <row r="185" spans="3:9" x14ac:dyDescent="0.35">
      <c r="C185" s="27">
        <v>45885</v>
      </c>
      <c r="D185" s="26" t="s">
        <v>11</v>
      </c>
      <c r="E185" s="26" t="s">
        <v>103</v>
      </c>
      <c r="F185" s="99">
        <v>152.16999999999999</v>
      </c>
      <c r="G185" s="28" t="s">
        <v>107</v>
      </c>
      <c r="H185" s="102" cm="1">
        <f t="array" ref="H185">SUMPRODUCT(Tracking[Amount], --(Tracking[Date]&lt;=Tracking[[#This Row],[Date]]), (Tracking[Type]&lt;&gt;"Income")*(-1)+(Tracking[Type]="Income"))</f>
        <v>14675.100000000002</v>
      </c>
      <c r="I18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45885</v>
      </c>
    </row>
    <row r="186" spans="3:9" x14ac:dyDescent="0.35">
      <c r="C186" s="27">
        <v>45885</v>
      </c>
      <c r="D186" s="26" t="s">
        <v>11</v>
      </c>
      <c r="E186" s="26" t="s">
        <v>10</v>
      </c>
      <c r="F186" s="99">
        <v>150</v>
      </c>
      <c r="G186" s="28" t="s">
        <v>107</v>
      </c>
      <c r="H186" s="102" cm="1">
        <f t="array" ref="H186">SUMPRODUCT(Tracking[Amount], --(Tracking[Date]&lt;=Tracking[[#This Row],[Date]]), (Tracking[Type]&lt;&gt;"Income")*(-1)+(Tracking[Type]="Income"))</f>
        <v>14675.100000000002</v>
      </c>
      <c r="I18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45885</v>
      </c>
    </row>
    <row r="187" spans="3:9" x14ac:dyDescent="0.35">
      <c r="C187" s="27">
        <v>45886</v>
      </c>
      <c r="D187" s="26" t="s">
        <v>15</v>
      </c>
      <c r="E187" s="26" t="s">
        <v>18</v>
      </c>
      <c r="F187" s="99">
        <v>1163.27</v>
      </c>
      <c r="G187" s="28" t="s">
        <v>107</v>
      </c>
      <c r="H187" s="102" cm="1">
        <f t="array" ref="H187">SUMPRODUCT(Tracking[Amount], --(Tracking[Date]&lt;=Tracking[[#This Row],[Date]]), (Tracking[Type]&lt;&gt;"Income")*(-1)+(Tracking[Type]="Income"))</f>
        <v>13566.880000000001</v>
      </c>
      <c r="I18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45886</v>
      </c>
    </row>
    <row r="188" spans="3:9" x14ac:dyDescent="0.35">
      <c r="C188" s="27">
        <v>45886</v>
      </c>
      <c r="D188" s="26" t="s">
        <v>4</v>
      </c>
      <c r="E188" s="26" t="s">
        <v>10</v>
      </c>
      <c r="F188" s="99">
        <v>55.05</v>
      </c>
      <c r="G188" s="28" t="s">
        <v>107</v>
      </c>
      <c r="H188" s="102" cm="1">
        <f t="array" ref="H188">SUMPRODUCT(Tracking[Amount], --(Tracking[Date]&lt;=Tracking[[#This Row],[Date]]), (Tracking[Type]&lt;&gt;"Income")*(-1)+(Tracking[Type]="Income"))</f>
        <v>13566.880000000001</v>
      </c>
      <c r="I18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45886</v>
      </c>
    </row>
    <row r="189" spans="3:9" x14ac:dyDescent="0.35">
      <c r="C189" s="27">
        <v>45893</v>
      </c>
      <c r="D189" s="26" t="s">
        <v>11</v>
      </c>
      <c r="E189" s="26" t="s">
        <v>12</v>
      </c>
      <c r="F189" s="99">
        <v>4200</v>
      </c>
      <c r="G189" s="28" t="s">
        <v>107</v>
      </c>
      <c r="H189" s="102" cm="1">
        <f t="array" ref="H189">SUMPRODUCT(Tracking[Amount], --(Tracking[Date]&lt;=Tracking[[#This Row],[Date]]), (Tracking[Type]&lt;&gt;"Income")*(-1)+(Tracking[Type]="Income"))</f>
        <v>9366.880000000001</v>
      </c>
      <c r="I18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45893</v>
      </c>
    </row>
    <row r="190" spans="3:9" x14ac:dyDescent="0.35">
      <c r="C190" s="27">
        <v>45902</v>
      </c>
      <c r="D190" s="26" t="s">
        <v>15</v>
      </c>
      <c r="E190" s="26" t="s">
        <v>16</v>
      </c>
      <c r="F190" s="99">
        <v>381.89</v>
      </c>
      <c r="G190" s="28" t="s">
        <v>107</v>
      </c>
      <c r="H190" s="102" cm="1">
        <f t="array" ref="H190">SUMPRODUCT(Tracking[Amount], --(Tracking[Date]&lt;=Tracking[[#This Row],[Date]]), (Tracking[Type]&lt;&gt;"Income")*(-1)+(Tracking[Type]="Income"))</f>
        <v>8984.9900000000016</v>
      </c>
      <c r="I19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45902</v>
      </c>
    </row>
    <row r="191" spans="3:9" x14ac:dyDescent="0.35">
      <c r="C191" s="27">
        <v>45904</v>
      </c>
      <c r="D191" s="26" t="s">
        <v>11</v>
      </c>
      <c r="E191" s="26" t="s">
        <v>104</v>
      </c>
      <c r="F191" s="99">
        <v>250</v>
      </c>
      <c r="G191" s="28" t="s">
        <v>107</v>
      </c>
      <c r="H191" s="102" cm="1">
        <f t="array" ref="H191">SUMPRODUCT(Tracking[Amount], --(Tracking[Date]&lt;=Tracking[[#This Row],[Date]]), (Tracking[Type]&lt;&gt;"Income")*(-1)+(Tracking[Type]="Income"))</f>
        <v>8734.9900000000016</v>
      </c>
      <c r="I19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45904</v>
      </c>
    </row>
    <row r="192" spans="3:9" x14ac:dyDescent="0.35">
      <c r="C192" s="27">
        <v>45905</v>
      </c>
      <c r="D192" s="26" t="s">
        <v>15</v>
      </c>
      <c r="E192" s="26" t="s">
        <v>17</v>
      </c>
      <c r="F192" s="99">
        <v>1400</v>
      </c>
      <c r="G192" s="28" t="s">
        <v>107</v>
      </c>
      <c r="H192" s="102" cm="1">
        <f t="array" ref="H192">SUMPRODUCT(Tracking[Amount], --(Tracking[Date]&lt;=Tracking[[#This Row],[Date]]), (Tracking[Type]&lt;&gt;"Income")*(-1)+(Tracking[Type]="Income"))</f>
        <v>7084.9900000000016</v>
      </c>
      <c r="I19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45905</v>
      </c>
    </row>
    <row r="193" spans="3:9" x14ac:dyDescent="0.35">
      <c r="C193" s="27">
        <v>45905</v>
      </c>
      <c r="D193" s="26" t="s">
        <v>15</v>
      </c>
      <c r="E193" s="26" t="s">
        <v>10</v>
      </c>
      <c r="F193" s="99">
        <v>250</v>
      </c>
      <c r="G193" s="28" t="s">
        <v>107</v>
      </c>
      <c r="H193" s="102" cm="1">
        <f t="array" ref="H193">SUMPRODUCT(Tracking[Amount], --(Tracking[Date]&lt;=Tracking[[#This Row],[Date]]), (Tracking[Type]&lt;&gt;"Income")*(-1)+(Tracking[Type]="Income"))</f>
        <v>7084.9900000000016</v>
      </c>
      <c r="I19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45905</v>
      </c>
    </row>
    <row r="194" spans="3:9" x14ac:dyDescent="0.35">
      <c r="C194" s="27">
        <v>45906</v>
      </c>
      <c r="D194" s="26" t="s">
        <v>11</v>
      </c>
      <c r="E194" s="26" t="s">
        <v>13</v>
      </c>
      <c r="F194" s="99">
        <v>1650</v>
      </c>
      <c r="G194" s="28" t="s">
        <v>107</v>
      </c>
      <c r="H194" s="102" cm="1">
        <f t="array" ref="H194">SUMPRODUCT(Tracking[Amount], --(Tracking[Date]&lt;=Tracking[[#This Row],[Date]]), (Tracking[Type]&lt;&gt;"Income")*(-1)+(Tracking[Type]="Income"))</f>
        <v>5434.9900000000016</v>
      </c>
      <c r="I19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45906</v>
      </c>
    </row>
    <row r="195" spans="3:9" x14ac:dyDescent="0.35">
      <c r="C195" s="27">
        <v>45907</v>
      </c>
      <c r="D195" s="26" t="s">
        <v>4</v>
      </c>
      <c r="E195" s="26" t="s">
        <v>8</v>
      </c>
      <c r="F195" s="99">
        <v>1407.58</v>
      </c>
      <c r="G195" s="28" t="s">
        <v>107</v>
      </c>
      <c r="H195" s="102" cm="1">
        <f t="array" ref="H195">SUMPRODUCT(Tracking[Amount], --(Tracking[Date]&lt;=Tracking[[#This Row],[Date]]), (Tracking[Type]&lt;&gt;"Income")*(-1)+(Tracking[Type]="Income"))</f>
        <v>6842.5700000000015</v>
      </c>
      <c r="I19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45907</v>
      </c>
    </row>
    <row r="196" spans="3:9" x14ac:dyDescent="0.35">
      <c r="C196" s="27">
        <v>45908</v>
      </c>
      <c r="D196" s="26" t="s">
        <v>11</v>
      </c>
      <c r="E196" s="26" t="s">
        <v>10</v>
      </c>
      <c r="F196" s="99">
        <v>150</v>
      </c>
      <c r="G196" s="28" t="s">
        <v>107</v>
      </c>
      <c r="H196" s="102" cm="1">
        <f t="array" ref="H196">SUMPRODUCT(Tracking[Amount], --(Tracking[Date]&lt;=Tracking[[#This Row],[Date]]), (Tracking[Type]&lt;&gt;"Income")*(-1)+(Tracking[Type]="Income"))</f>
        <v>6692.5700000000015</v>
      </c>
      <c r="I19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45908</v>
      </c>
    </row>
    <row r="197" spans="3:9" x14ac:dyDescent="0.35">
      <c r="C197" s="27">
        <v>45911</v>
      </c>
      <c r="D197" s="26" t="s">
        <v>11</v>
      </c>
      <c r="E197" s="26" t="s">
        <v>103</v>
      </c>
      <c r="F197" s="99">
        <v>300</v>
      </c>
      <c r="G197" s="28" t="s">
        <v>107</v>
      </c>
      <c r="H197" s="102" cm="1">
        <f t="array" ref="H197">SUMPRODUCT(Tracking[Amount], --(Tracking[Date]&lt;=Tracking[[#This Row],[Date]]), (Tracking[Type]&lt;&gt;"Income")*(-1)+(Tracking[Type]="Income"))</f>
        <v>6392.5700000000015</v>
      </c>
      <c r="I19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45911</v>
      </c>
    </row>
    <row r="198" spans="3:9" x14ac:dyDescent="0.35">
      <c r="C198" s="27">
        <v>45913</v>
      </c>
      <c r="D198" s="26" t="s">
        <v>4</v>
      </c>
      <c r="E198" s="26" t="s">
        <v>8</v>
      </c>
      <c r="F198" s="99">
        <v>1492.42</v>
      </c>
      <c r="G198" s="28" t="s">
        <v>107</v>
      </c>
      <c r="H198" s="102" cm="1">
        <f t="array" ref="H198">SUMPRODUCT(Tracking[Amount], --(Tracking[Date]&lt;=Tracking[[#This Row],[Date]]), (Tracking[Type]&lt;&gt;"Income")*(-1)+(Tracking[Type]="Income"))</f>
        <v>7066.8800000000019</v>
      </c>
      <c r="I19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45913</v>
      </c>
    </row>
    <row r="199" spans="3:9" x14ac:dyDescent="0.35">
      <c r="C199" s="27">
        <v>45913</v>
      </c>
      <c r="D199" s="26" t="s">
        <v>15</v>
      </c>
      <c r="E199" s="26" t="s">
        <v>16</v>
      </c>
      <c r="F199" s="99">
        <v>818.11</v>
      </c>
      <c r="G199" s="28" t="s">
        <v>107</v>
      </c>
      <c r="H199" s="102" cm="1">
        <f t="array" ref="H199">SUMPRODUCT(Tracking[Amount], --(Tracking[Date]&lt;=Tracking[[#This Row],[Date]]), (Tracking[Type]&lt;&gt;"Income")*(-1)+(Tracking[Type]="Income"))</f>
        <v>7066.8800000000019</v>
      </c>
      <c r="I19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45913</v>
      </c>
    </row>
    <row r="200" spans="3:9" x14ac:dyDescent="0.35">
      <c r="C200" s="27">
        <v>45914</v>
      </c>
      <c r="D200" s="26" t="s">
        <v>4</v>
      </c>
      <c r="E200" s="26" t="s">
        <v>9</v>
      </c>
      <c r="F200" s="99">
        <v>350</v>
      </c>
      <c r="G200" s="28" t="s">
        <v>107</v>
      </c>
      <c r="H200" s="102" cm="1">
        <f t="array" ref="H200">SUMPRODUCT(Tracking[Amount], --(Tracking[Date]&lt;=Tracking[[#This Row],[Date]]), (Tracking[Type]&lt;&gt;"Income")*(-1)+(Tracking[Type]="Income"))</f>
        <v>7416.8800000000019</v>
      </c>
      <c r="I20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45914</v>
      </c>
    </row>
    <row r="201" spans="3:9" x14ac:dyDescent="0.35">
      <c r="C201" s="27">
        <v>45915</v>
      </c>
      <c r="D201" s="26" t="s">
        <v>15</v>
      </c>
      <c r="E201" s="26" t="s">
        <v>18</v>
      </c>
      <c r="F201" s="99">
        <v>800</v>
      </c>
      <c r="G201" s="28" t="s">
        <v>107</v>
      </c>
      <c r="H201" s="102" cm="1">
        <f t="array" ref="H201">SUMPRODUCT(Tracking[Amount], --(Tracking[Date]&lt;=Tracking[[#This Row],[Date]]), (Tracking[Type]&lt;&gt;"Income")*(-1)+(Tracking[Type]="Income"))</f>
        <v>6616.8800000000019</v>
      </c>
      <c r="I20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45915</v>
      </c>
    </row>
    <row r="202" spans="3:9" x14ac:dyDescent="0.35">
      <c r="C202" s="27">
        <v>45916</v>
      </c>
      <c r="D202" s="26" t="s">
        <v>4</v>
      </c>
      <c r="E202" s="26" t="s">
        <v>10</v>
      </c>
      <c r="F202" s="99">
        <v>250</v>
      </c>
      <c r="G202" s="28" t="s">
        <v>107</v>
      </c>
      <c r="H202" s="102" cm="1">
        <f t="array" ref="H202">SUMPRODUCT(Tracking[Amount], --(Tracking[Date]&lt;=Tracking[[#This Row],[Date]]), (Tracking[Type]&lt;&gt;"Income")*(-1)+(Tracking[Type]="Income"))</f>
        <v>6866.8800000000019</v>
      </c>
      <c r="I20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45916</v>
      </c>
    </row>
    <row r="203" spans="3:9" x14ac:dyDescent="0.35">
      <c r="C203" s="27">
        <v>45919</v>
      </c>
      <c r="D203" s="26" t="s">
        <v>4</v>
      </c>
      <c r="E203" s="26" t="s">
        <v>7</v>
      </c>
      <c r="F203" s="99">
        <v>9200</v>
      </c>
      <c r="G203" s="28" t="s">
        <v>107</v>
      </c>
      <c r="H203" s="102" cm="1">
        <f t="array" ref="H203">SUMPRODUCT(Tracking[Amount], --(Tracking[Date]&lt;=Tracking[[#This Row],[Date]]), (Tracking[Type]&lt;&gt;"Income")*(-1)+(Tracking[Type]="Income"))</f>
        <v>16066.880000000001</v>
      </c>
      <c r="I20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45919</v>
      </c>
    </row>
    <row r="204" spans="3:9" x14ac:dyDescent="0.35">
      <c r="C204" s="27">
        <v>45928</v>
      </c>
      <c r="D204" s="26" t="s">
        <v>11</v>
      </c>
      <c r="E204" s="26" t="s">
        <v>12</v>
      </c>
      <c r="F204" s="99">
        <v>4200</v>
      </c>
      <c r="G204" s="28" t="s">
        <v>107</v>
      </c>
      <c r="H204" s="102" cm="1">
        <f t="array" ref="H204">SUMPRODUCT(Tracking[Amount], --(Tracking[Date]&lt;=Tracking[[#This Row],[Date]]), (Tracking[Type]&lt;&gt;"Income")*(-1)+(Tracking[Type]="Income"))</f>
        <v>11866.880000000001</v>
      </c>
      <c r="I20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45928</v>
      </c>
    </row>
    <row r="205" spans="3:9" x14ac:dyDescent="0.35">
      <c r="C205" s="27">
        <v>45931</v>
      </c>
      <c r="D205" s="26" t="s">
        <v>4</v>
      </c>
      <c r="E205" s="26" t="s">
        <v>10</v>
      </c>
      <c r="F205" s="99">
        <v>103.31</v>
      </c>
      <c r="G205" s="28" t="s">
        <v>107</v>
      </c>
      <c r="H205" s="102" cm="1">
        <f t="array" ref="H205">SUMPRODUCT(Tracking[Amount], --(Tracking[Date]&lt;=Tracking[[#This Row],[Date]]), (Tracking[Type]&lt;&gt;"Income")*(-1)+(Tracking[Type]="Income"))</f>
        <v>11970.19</v>
      </c>
      <c r="I20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45931</v>
      </c>
    </row>
    <row r="206" spans="3:9" x14ac:dyDescent="0.35">
      <c r="C206" s="27">
        <v>45932</v>
      </c>
      <c r="D206" s="26" t="s">
        <v>11</v>
      </c>
      <c r="E206" s="26" t="s">
        <v>13</v>
      </c>
      <c r="F206" s="99">
        <v>1550</v>
      </c>
      <c r="G206" s="28" t="s">
        <v>107</v>
      </c>
      <c r="H206" s="102" cm="1">
        <f t="array" ref="H206">SUMPRODUCT(Tracking[Amount], --(Tracking[Date]&lt;=Tracking[[#This Row],[Date]]), (Tracking[Type]&lt;&gt;"Income")*(-1)+(Tracking[Type]="Income"))</f>
        <v>10390.220000000001</v>
      </c>
      <c r="I20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45932</v>
      </c>
    </row>
    <row r="207" spans="3:9" x14ac:dyDescent="0.35">
      <c r="C207" s="27">
        <v>45932</v>
      </c>
      <c r="D207" s="26" t="s">
        <v>11</v>
      </c>
      <c r="E207" s="26" t="s">
        <v>10</v>
      </c>
      <c r="F207" s="99">
        <v>29.97</v>
      </c>
      <c r="G207" s="28" t="s">
        <v>107</v>
      </c>
      <c r="H207" s="102" cm="1">
        <f t="array" ref="H207">SUMPRODUCT(Tracking[Amount], --(Tracking[Date]&lt;=Tracking[[#This Row],[Date]]), (Tracking[Type]&lt;&gt;"Income")*(-1)+(Tracking[Type]="Income"))</f>
        <v>10390.220000000001</v>
      </c>
      <c r="I20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45932</v>
      </c>
    </row>
    <row r="208" spans="3:9" x14ac:dyDescent="0.35">
      <c r="C208" s="27">
        <v>45935</v>
      </c>
      <c r="D208" s="26" t="s">
        <v>11</v>
      </c>
      <c r="E208" s="26" t="s">
        <v>103</v>
      </c>
      <c r="F208" s="99">
        <v>27.81</v>
      </c>
      <c r="G208" s="28" t="s">
        <v>107</v>
      </c>
      <c r="H208" s="102" cm="1">
        <f t="array" ref="H208">SUMPRODUCT(Tracking[Amount], --(Tracking[Date]&lt;=Tracking[[#This Row],[Date]]), (Tracking[Type]&lt;&gt;"Income")*(-1)+(Tracking[Type]="Income"))</f>
        <v>10362.410000000002</v>
      </c>
      <c r="I20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45935</v>
      </c>
    </row>
    <row r="209" spans="3:9" x14ac:dyDescent="0.35">
      <c r="C209" s="27">
        <v>45938</v>
      </c>
      <c r="D209" s="26" t="s">
        <v>4</v>
      </c>
      <c r="E209" s="26" t="s">
        <v>8</v>
      </c>
      <c r="F209" s="99">
        <v>830.88</v>
      </c>
      <c r="G209" s="28" t="s">
        <v>107</v>
      </c>
      <c r="H209" s="102" cm="1">
        <f t="array" ref="H209">SUMPRODUCT(Tracking[Amount], --(Tracking[Date]&lt;=Tracking[[#This Row],[Date]]), (Tracking[Type]&lt;&gt;"Income")*(-1)+(Tracking[Type]="Income"))</f>
        <v>8881.7900000000009</v>
      </c>
      <c r="I20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45938</v>
      </c>
    </row>
    <row r="210" spans="3:9" x14ac:dyDescent="0.35">
      <c r="C210" s="27">
        <v>45938</v>
      </c>
      <c r="D210" s="26" t="s">
        <v>11</v>
      </c>
      <c r="E210" s="26" t="s">
        <v>12</v>
      </c>
      <c r="F210" s="99">
        <v>2311.5</v>
      </c>
      <c r="G210" s="28" t="s">
        <v>107</v>
      </c>
      <c r="H210" s="102" cm="1">
        <f t="array" ref="H210">SUMPRODUCT(Tracking[Amount], --(Tracking[Date]&lt;=Tracking[[#This Row],[Date]]), (Tracking[Type]&lt;&gt;"Income")*(-1)+(Tracking[Type]="Income"))</f>
        <v>8881.7900000000009</v>
      </c>
      <c r="I21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45938</v>
      </c>
    </row>
    <row r="211" spans="3:9" x14ac:dyDescent="0.35">
      <c r="C211" s="27">
        <v>45939</v>
      </c>
      <c r="D211" s="26" t="s">
        <v>11</v>
      </c>
      <c r="E211" s="26" t="s">
        <v>106</v>
      </c>
      <c r="F211" s="99">
        <v>398.3</v>
      </c>
      <c r="G211" s="28" t="s">
        <v>107</v>
      </c>
      <c r="H211" s="102" cm="1">
        <f t="array" ref="H211">SUMPRODUCT(Tracking[Amount], --(Tracking[Date]&lt;=Tracking[[#This Row],[Date]]), (Tracking[Type]&lt;&gt;"Income")*(-1)+(Tracking[Type]="Income"))</f>
        <v>8483.4900000000016</v>
      </c>
      <c r="I21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45939</v>
      </c>
    </row>
    <row r="212" spans="3:9" x14ac:dyDescent="0.35">
      <c r="C212" s="27">
        <v>45940</v>
      </c>
      <c r="D212" s="26" t="s">
        <v>11</v>
      </c>
      <c r="E212" s="26" t="s">
        <v>10</v>
      </c>
      <c r="F212" s="99">
        <v>69</v>
      </c>
      <c r="G212" s="28" t="s">
        <v>107</v>
      </c>
      <c r="H212" s="102" cm="1">
        <f t="array" ref="H212">SUMPRODUCT(Tracking[Amount], --(Tracking[Date]&lt;=Tracking[[#This Row],[Date]]), (Tracking[Type]&lt;&gt;"Income")*(-1)+(Tracking[Type]="Income"))</f>
        <v>8414.4900000000016</v>
      </c>
      <c r="I21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45940</v>
      </c>
    </row>
    <row r="213" spans="3:9" x14ac:dyDescent="0.35">
      <c r="C213" s="27">
        <v>45941</v>
      </c>
      <c r="D213" s="26" t="s">
        <v>15</v>
      </c>
      <c r="E213" s="26" t="s">
        <v>18</v>
      </c>
      <c r="F213" s="99">
        <v>900.08</v>
      </c>
      <c r="G213" s="28" t="s">
        <v>107</v>
      </c>
      <c r="H213" s="102" cm="1">
        <f t="array" ref="H213">SUMPRODUCT(Tracking[Amount], --(Tracking[Date]&lt;=Tracking[[#This Row],[Date]]), (Tracking[Type]&lt;&gt;"Income")*(-1)+(Tracking[Type]="Income"))</f>
        <v>7514.4100000000017</v>
      </c>
      <c r="I21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45941</v>
      </c>
    </row>
    <row r="214" spans="3:9" x14ac:dyDescent="0.35">
      <c r="C214" s="27">
        <v>45942</v>
      </c>
      <c r="D214" s="26" t="s">
        <v>4</v>
      </c>
      <c r="E214" s="26" t="s">
        <v>7</v>
      </c>
      <c r="F214" s="99">
        <v>9200</v>
      </c>
      <c r="G214" s="28" t="s">
        <v>107</v>
      </c>
      <c r="H214" s="102" cm="1">
        <f t="array" ref="H214">SUMPRODUCT(Tracking[Amount], --(Tracking[Date]&lt;=Tracking[[#This Row],[Date]]), (Tracking[Type]&lt;&gt;"Income")*(-1)+(Tracking[Type]="Income"))</f>
        <v>15840.060000000003</v>
      </c>
      <c r="I21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45942</v>
      </c>
    </row>
    <row r="215" spans="3:9" x14ac:dyDescent="0.35">
      <c r="C215" s="27">
        <v>45942</v>
      </c>
      <c r="D215" s="26" t="s">
        <v>15</v>
      </c>
      <c r="E215" s="26" t="s">
        <v>16</v>
      </c>
      <c r="F215" s="99">
        <v>874.35</v>
      </c>
      <c r="G215" s="28" t="s">
        <v>107</v>
      </c>
      <c r="H215" s="102" cm="1">
        <f t="array" ref="H215">SUMPRODUCT(Tracking[Amount], --(Tracking[Date]&lt;=Tracking[[#This Row],[Date]]), (Tracking[Type]&lt;&gt;"Income")*(-1)+(Tracking[Type]="Income"))</f>
        <v>15840.060000000003</v>
      </c>
      <c r="I21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45942</v>
      </c>
    </row>
    <row r="216" spans="3:9" x14ac:dyDescent="0.35">
      <c r="C216" s="27">
        <v>45944</v>
      </c>
      <c r="D216" s="26" t="s">
        <v>11</v>
      </c>
      <c r="E216" s="26" t="s">
        <v>106</v>
      </c>
      <c r="F216" s="99">
        <v>545.62</v>
      </c>
      <c r="G216" s="28" t="s">
        <v>107</v>
      </c>
      <c r="H216" s="102" cm="1">
        <f t="array" ref="H216">SUMPRODUCT(Tracking[Amount], --(Tracking[Date]&lt;=Tracking[[#This Row],[Date]]), (Tracking[Type]&lt;&gt;"Income")*(-1)+(Tracking[Type]="Income"))</f>
        <v>15294.440000000002</v>
      </c>
      <c r="I21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45944</v>
      </c>
    </row>
    <row r="217" spans="3:9" x14ac:dyDescent="0.35">
      <c r="C217" s="27">
        <v>45948</v>
      </c>
      <c r="D217" s="26" t="s">
        <v>15</v>
      </c>
      <c r="E217" s="26" t="s">
        <v>10</v>
      </c>
      <c r="F217" s="99">
        <v>92.05</v>
      </c>
      <c r="G217" s="28" t="s">
        <v>107</v>
      </c>
      <c r="H217" s="102" cm="1">
        <f t="array" ref="H217">SUMPRODUCT(Tracking[Amount], --(Tracking[Date]&lt;=Tracking[[#This Row],[Date]]), (Tracking[Type]&lt;&gt;"Income")*(-1)+(Tracking[Type]="Income"))</f>
        <v>14248.150000000003</v>
      </c>
      <c r="I21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45948</v>
      </c>
    </row>
    <row r="218" spans="3:9" x14ac:dyDescent="0.35">
      <c r="C218" s="27">
        <v>45948</v>
      </c>
      <c r="D218" s="26" t="s">
        <v>11</v>
      </c>
      <c r="E218" s="26" t="s">
        <v>106</v>
      </c>
      <c r="F218" s="99">
        <v>556.08000000000004</v>
      </c>
      <c r="G218" s="28" t="s">
        <v>107</v>
      </c>
      <c r="H218" s="102" cm="1">
        <f t="array" ref="H218">SUMPRODUCT(Tracking[Amount], --(Tracking[Date]&lt;=Tracking[[#This Row],[Date]]), (Tracking[Type]&lt;&gt;"Income")*(-1)+(Tracking[Type]="Income"))</f>
        <v>14248.150000000003</v>
      </c>
      <c r="I21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45948</v>
      </c>
    </row>
    <row r="219" spans="3:9" x14ac:dyDescent="0.35">
      <c r="C219" s="27">
        <v>45948</v>
      </c>
      <c r="D219" s="26" t="s">
        <v>11</v>
      </c>
      <c r="E219" s="26" t="s">
        <v>103</v>
      </c>
      <c r="F219" s="99">
        <v>398.16</v>
      </c>
      <c r="G219" s="28" t="s">
        <v>107</v>
      </c>
      <c r="H219" s="102" cm="1">
        <f t="array" ref="H219">SUMPRODUCT(Tracking[Amount], --(Tracking[Date]&lt;=Tracking[[#This Row],[Date]]), (Tracking[Type]&lt;&gt;"Income")*(-1)+(Tracking[Type]="Income"))</f>
        <v>14248.150000000003</v>
      </c>
      <c r="I21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45948</v>
      </c>
    </row>
    <row r="220" spans="3:9" x14ac:dyDescent="0.35">
      <c r="C220" s="27">
        <v>45950</v>
      </c>
      <c r="D220" s="26" t="s">
        <v>11</v>
      </c>
      <c r="E220" s="26" t="s">
        <v>10</v>
      </c>
      <c r="F220" s="99">
        <v>51.03</v>
      </c>
      <c r="G220" s="28" t="s">
        <v>107</v>
      </c>
      <c r="H220" s="102" cm="1">
        <f t="array" ref="H220">SUMPRODUCT(Tracking[Amount], --(Tracking[Date]&lt;=Tracking[[#This Row],[Date]]), (Tracking[Type]&lt;&gt;"Income")*(-1)+(Tracking[Type]="Income"))</f>
        <v>14097.200000000003</v>
      </c>
      <c r="I22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45950</v>
      </c>
    </row>
    <row r="221" spans="3:9" x14ac:dyDescent="0.35">
      <c r="C221" s="27">
        <v>45950</v>
      </c>
      <c r="D221" s="26" t="s">
        <v>15</v>
      </c>
      <c r="E221" s="26" t="s">
        <v>18</v>
      </c>
      <c r="F221" s="99">
        <v>99.92</v>
      </c>
      <c r="G221" s="28" t="s">
        <v>107</v>
      </c>
      <c r="H221" s="102" cm="1">
        <f t="array" ref="H221">SUMPRODUCT(Tracking[Amount], --(Tracking[Date]&lt;=Tracking[[#This Row],[Date]]), (Tracking[Type]&lt;&gt;"Income")*(-1)+(Tracking[Type]="Income"))</f>
        <v>14097.200000000003</v>
      </c>
      <c r="I22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45950</v>
      </c>
    </row>
    <row r="222" spans="3:9" x14ac:dyDescent="0.35">
      <c r="C222" s="27">
        <v>45951</v>
      </c>
      <c r="D222" s="26" t="s">
        <v>15</v>
      </c>
      <c r="E222" s="26" t="s">
        <v>17</v>
      </c>
      <c r="F222" s="99">
        <v>1400</v>
      </c>
      <c r="G222" s="28" t="s">
        <v>107</v>
      </c>
      <c r="H222" s="102" cm="1">
        <f t="array" ref="H222">SUMPRODUCT(Tracking[Amount], --(Tracking[Date]&lt;=Tracking[[#This Row],[Date]]), (Tracking[Type]&lt;&gt;"Income")*(-1)+(Tracking[Type]="Income"))</f>
        <v>12697.200000000003</v>
      </c>
      <c r="I22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45951</v>
      </c>
    </row>
    <row r="223" spans="3:9" x14ac:dyDescent="0.35">
      <c r="C223" s="27">
        <v>45952</v>
      </c>
      <c r="D223" s="26" t="s">
        <v>4</v>
      </c>
      <c r="E223" s="26" t="s">
        <v>10</v>
      </c>
      <c r="F223" s="99">
        <v>246.69</v>
      </c>
      <c r="G223" s="28" t="s">
        <v>107</v>
      </c>
      <c r="H223" s="102" cm="1">
        <f t="array" ref="H223">SUMPRODUCT(Tracking[Amount], --(Tracking[Date]&lt;=Tracking[[#This Row],[Date]]), (Tracking[Type]&lt;&gt;"Income")*(-1)+(Tracking[Type]="Income"))</f>
        <v>12943.890000000003</v>
      </c>
      <c r="I22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45962</v>
      </c>
    </row>
    <row r="224" spans="3:9" x14ac:dyDescent="0.35">
      <c r="C224" s="27">
        <v>45954</v>
      </c>
      <c r="D224" s="26" t="s">
        <v>15</v>
      </c>
      <c r="E224" s="26" t="s">
        <v>10</v>
      </c>
      <c r="F224" s="99">
        <v>107.95</v>
      </c>
      <c r="G224" s="28" t="s">
        <v>107</v>
      </c>
      <c r="H224" s="102" cm="1">
        <f t="array" ref="H224">SUMPRODUCT(Tracking[Amount], --(Tracking[Date]&lt;=Tracking[[#This Row],[Date]]), (Tracking[Type]&lt;&gt;"Income")*(-1)+(Tracking[Type]="Income"))</f>
        <v>12835.940000000002</v>
      </c>
      <c r="I22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45954</v>
      </c>
    </row>
    <row r="225" spans="3:9" x14ac:dyDescent="0.35">
      <c r="C225" s="27">
        <v>45956</v>
      </c>
      <c r="D225" s="26" t="s">
        <v>11</v>
      </c>
      <c r="E225" s="26" t="s">
        <v>103</v>
      </c>
      <c r="F225" s="99">
        <v>124.03</v>
      </c>
      <c r="G225" s="28" t="s">
        <v>107</v>
      </c>
      <c r="H225" s="102" cm="1">
        <f t="array" ref="H225">SUMPRODUCT(Tracking[Amount], --(Tracking[Date]&lt;=Tracking[[#This Row],[Date]]), (Tracking[Type]&lt;&gt;"Income")*(-1)+(Tracking[Type]="Income"))</f>
        <v>11347.760000000002</v>
      </c>
      <c r="I22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45956</v>
      </c>
    </row>
    <row r="226" spans="3:9" x14ac:dyDescent="0.35">
      <c r="C226" s="27">
        <v>45956</v>
      </c>
      <c r="D226" s="26" t="s">
        <v>11</v>
      </c>
      <c r="E226" s="26" t="s">
        <v>12</v>
      </c>
      <c r="F226" s="99">
        <v>1888.5</v>
      </c>
      <c r="G226" s="28" t="s">
        <v>107</v>
      </c>
      <c r="H226" s="102" cm="1">
        <f t="array" ref="H226">SUMPRODUCT(Tracking[Amount], --(Tracking[Date]&lt;=Tracking[[#This Row],[Date]]), (Tracking[Type]&lt;&gt;"Income")*(-1)+(Tracking[Type]="Income"))</f>
        <v>11347.760000000002</v>
      </c>
      <c r="I22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45956</v>
      </c>
    </row>
    <row r="227" spans="3:9" x14ac:dyDescent="0.35">
      <c r="C227" s="27">
        <v>45956</v>
      </c>
      <c r="D227" s="26" t="s">
        <v>15</v>
      </c>
      <c r="E227" s="26" t="s">
        <v>16</v>
      </c>
      <c r="F227" s="99">
        <v>325.64999999999998</v>
      </c>
      <c r="G227" s="28" t="s">
        <v>107</v>
      </c>
      <c r="H227" s="102" cm="1">
        <f t="array" ref="H227">SUMPRODUCT(Tracking[Amount], --(Tracking[Date]&lt;=Tracking[[#This Row],[Date]]), (Tracking[Type]&lt;&gt;"Income")*(-1)+(Tracking[Type]="Income"))</f>
        <v>11347.760000000002</v>
      </c>
      <c r="I22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45956</v>
      </c>
    </row>
    <row r="228" spans="3:9" x14ac:dyDescent="0.35">
      <c r="C228" s="27">
        <v>45956</v>
      </c>
      <c r="D228" s="26" t="s">
        <v>4</v>
      </c>
      <c r="E228" s="26" t="s">
        <v>9</v>
      </c>
      <c r="F228" s="99">
        <v>1000</v>
      </c>
      <c r="G228" s="28" t="s">
        <v>107</v>
      </c>
      <c r="H228" s="102" cm="1">
        <f t="array" ref="H228">SUMPRODUCT(Tracking[Amount], --(Tracking[Date]&lt;=Tracking[[#This Row],[Date]]), (Tracking[Type]&lt;&gt;"Income")*(-1)+(Tracking[Type]="Income"))</f>
        <v>11347.760000000002</v>
      </c>
      <c r="I22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45962</v>
      </c>
    </row>
    <row r="229" spans="3:9" x14ac:dyDescent="0.35">
      <c r="C229" s="27">
        <v>45956</v>
      </c>
      <c r="D229" s="26" t="s">
        <v>11</v>
      </c>
      <c r="E229" s="26" t="s">
        <v>104</v>
      </c>
      <c r="F229" s="99">
        <v>150</v>
      </c>
      <c r="G229" s="28" t="s">
        <v>107</v>
      </c>
      <c r="H229" s="102" cm="1">
        <f t="array" ref="H229">SUMPRODUCT(Tracking[Amount], --(Tracking[Date]&lt;=Tracking[[#This Row],[Date]]), (Tracking[Type]&lt;&gt;"Income")*(-1)+(Tracking[Type]="Income"))</f>
        <v>11347.760000000002</v>
      </c>
      <c r="I22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45956</v>
      </c>
    </row>
    <row r="230" spans="3:9" x14ac:dyDescent="0.35">
      <c r="C230" s="27">
        <v>45957</v>
      </c>
      <c r="D230" s="26" t="s">
        <v>4</v>
      </c>
      <c r="E230" s="26" t="s">
        <v>8</v>
      </c>
      <c r="F230" s="99">
        <v>969.12</v>
      </c>
      <c r="G230" s="28" t="s">
        <v>107</v>
      </c>
      <c r="H230" s="102" cm="1">
        <f t="array" ref="H230">SUMPRODUCT(Tracking[Amount], --(Tracking[Date]&lt;=Tracking[[#This Row],[Date]]), (Tracking[Type]&lt;&gt;"Income")*(-1)+(Tracking[Type]="Income"))</f>
        <v>12316.880000000003</v>
      </c>
      <c r="I23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45962</v>
      </c>
    </row>
    <row r="231" spans="3:9" x14ac:dyDescent="0.35">
      <c r="C231" s="27">
        <v>45964</v>
      </c>
      <c r="D231" s="26" t="s">
        <v>15</v>
      </c>
      <c r="E231" s="26" t="s">
        <v>10</v>
      </c>
      <c r="F231" s="99">
        <v>100</v>
      </c>
      <c r="G231" s="28" t="s">
        <v>107</v>
      </c>
      <c r="H231" s="102" cm="1">
        <f t="array" ref="H231">SUMPRODUCT(Tracking[Amount], --(Tracking[Date]&lt;=Tracking[[#This Row],[Date]]), (Tracking[Type]&lt;&gt;"Income")*(-1)+(Tracking[Type]="Income"))</f>
        <v>12216.880000000003</v>
      </c>
      <c r="I23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45964</v>
      </c>
    </row>
    <row r="232" spans="3:9" x14ac:dyDescent="0.35">
      <c r="C232" s="27">
        <v>45965</v>
      </c>
      <c r="D232" s="26" t="s">
        <v>15</v>
      </c>
      <c r="E232" s="26" t="s">
        <v>16</v>
      </c>
      <c r="F232" s="99">
        <v>1200</v>
      </c>
      <c r="G232" s="28" t="s">
        <v>107</v>
      </c>
      <c r="H232" s="102" cm="1">
        <f t="array" ref="H232">SUMPRODUCT(Tracking[Amount], --(Tracking[Date]&lt;=Tracking[[#This Row],[Date]]), (Tracking[Type]&lt;&gt;"Income")*(-1)+(Tracking[Type]="Income"))</f>
        <v>11016.880000000003</v>
      </c>
      <c r="I23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45965</v>
      </c>
    </row>
    <row r="233" spans="3:9" x14ac:dyDescent="0.35">
      <c r="C233" s="27">
        <v>45968</v>
      </c>
      <c r="D233" s="26" t="s">
        <v>4</v>
      </c>
      <c r="E233" s="26" t="s">
        <v>8</v>
      </c>
      <c r="F233" s="99">
        <v>2550</v>
      </c>
      <c r="G233" s="28" t="s">
        <v>107</v>
      </c>
      <c r="H233" s="102" cm="1">
        <f t="array" ref="H233">SUMPRODUCT(Tracking[Amount], --(Tracking[Date]&lt;=Tracking[[#This Row],[Date]]), (Tracking[Type]&lt;&gt;"Income")*(-1)+(Tracking[Type]="Income"))</f>
        <v>13566.880000000003</v>
      </c>
      <c r="I23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45968</v>
      </c>
    </row>
    <row r="234" spans="3:9" x14ac:dyDescent="0.35">
      <c r="C234" s="27">
        <v>45970</v>
      </c>
      <c r="D234" s="26" t="s">
        <v>15</v>
      </c>
      <c r="E234" s="26" t="s">
        <v>18</v>
      </c>
      <c r="F234" s="99">
        <v>900</v>
      </c>
      <c r="G234" s="28" t="s">
        <v>107</v>
      </c>
      <c r="H234" s="102" cm="1">
        <f t="array" ref="H234">SUMPRODUCT(Tracking[Amount], --(Tracking[Date]&lt;=Tracking[[#This Row],[Date]]), (Tracking[Type]&lt;&gt;"Income")*(-1)+(Tracking[Type]="Income"))</f>
        <v>12666.880000000003</v>
      </c>
      <c r="I23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45970</v>
      </c>
    </row>
    <row r="235" spans="3:9" x14ac:dyDescent="0.35">
      <c r="C235" s="27">
        <v>45973</v>
      </c>
      <c r="D235" s="26" t="s">
        <v>11</v>
      </c>
      <c r="E235" s="26" t="s">
        <v>10</v>
      </c>
      <c r="F235" s="99">
        <v>150</v>
      </c>
      <c r="G235" s="28" t="s">
        <v>107</v>
      </c>
      <c r="H235" s="102" cm="1">
        <f t="array" ref="H235">SUMPRODUCT(Tracking[Amount], --(Tracking[Date]&lt;=Tracking[[#This Row],[Date]]), (Tracking[Type]&lt;&gt;"Income")*(-1)+(Tracking[Type]="Income"))</f>
        <v>12516.880000000003</v>
      </c>
      <c r="I23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45973</v>
      </c>
    </row>
    <row r="236" spans="3:9" x14ac:dyDescent="0.35">
      <c r="C236" s="27">
        <v>45974</v>
      </c>
      <c r="D236" s="26" t="s">
        <v>4</v>
      </c>
      <c r="E236" s="26" t="s">
        <v>7</v>
      </c>
      <c r="F236" s="99">
        <v>8500</v>
      </c>
      <c r="G236" s="28" t="s">
        <v>107</v>
      </c>
      <c r="H236" s="102" cm="1">
        <f t="array" ref="H236">SUMPRODUCT(Tracking[Amount], --(Tracking[Date]&lt;=Tracking[[#This Row],[Date]]), (Tracking[Type]&lt;&gt;"Income")*(-1)+(Tracking[Type]="Income"))</f>
        <v>21016.880000000005</v>
      </c>
      <c r="I23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45974</v>
      </c>
    </row>
    <row r="237" spans="3:9" x14ac:dyDescent="0.35">
      <c r="C237" s="27">
        <v>45979</v>
      </c>
      <c r="D237" s="26" t="s">
        <v>11</v>
      </c>
      <c r="E237" s="26" t="s">
        <v>13</v>
      </c>
      <c r="F237" s="99">
        <v>847.12</v>
      </c>
      <c r="G237" s="28" t="s">
        <v>107</v>
      </c>
      <c r="H237" s="102" cm="1">
        <f t="array" ref="H237">SUMPRODUCT(Tracking[Amount], --(Tracking[Date]&lt;=Tracking[[#This Row],[Date]]), (Tracking[Type]&lt;&gt;"Income")*(-1)+(Tracking[Type]="Income"))</f>
        <v>20169.760000000006</v>
      </c>
      <c r="I23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45979</v>
      </c>
    </row>
    <row r="238" spans="3:9" x14ac:dyDescent="0.35">
      <c r="C238" s="27">
        <v>45982</v>
      </c>
      <c r="D238" s="26" t="s">
        <v>11</v>
      </c>
      <c r="E238" s="26" t="s">
        <v>13</v>
      </c>
      <c r="F238" s="99">
        <v>752.88</v>
      </c>
      <c r="G238" s="28" t="s">
        <v>107</v>
      </c>
      <c r="H238" s="102" cm="1">
        <f t="array" ref="H238">SUMPRODUCT(Tracking[Amount], --(Tracking[Date]&lt;=Tracking[[#This Row],[Date]]), (Tracking[Type]&lt;&gt;"Income")*(-1)+(Tracking[Type]="Income"))</f>
        <v>19405.250000000004</v>
      </c>
      <c r="I23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45982</v>
      </c>
    </row>
    <row r="239" spans="3:9" x14ac:dyDescent="0.35">
      <c r="C239" s="27">
        <v>45982</v>
      </c>
      <c r="D239" s="26" t="s">
        <v>11</v>
      </c>
      <c r="E239" s="26" t="s">
        <v>103</v>
      </c>
      <c r="F239" s="99">
        <v>11.63</v>
      </c>
      <c r="G239" s="28" t="s">
        <v>107</v>
      </c>
      <c r="H239" s="102" cm="1">
        <f t="array" ref="H239">SUMPRODUCT(Tracking[Amount], --(Tracking[Date]&lt;=Tracking[[#This Row],[Date]]), (Tracking[Type]&lt;&gt;"Income")*(-1)+(Tracking[Type]="Income"))</f>
        <v>19405.250000000004</v>
      </c>
      <c r="I23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45982</v>
      </c>
    </row>
    <row r="240" spans="3:9" x14ac:dyDescent="0.35">
      <c r="C240" s="27">
        <v>45983</v>
      </c>
      <c r="D240" s="26" t="s">
        <v>11</v>
      </c>
      <c r="E240" s="26" t="s">
        <v>103</v>
      </c>
      <c r="F240" s="99">
        <v>317.25</v>
      </c>
      <c r="G240" s="28" t="s">
        <v>107</v>
      </c>
      <c r="H240" s="102" cm="1">
        <f t="array" ref="H240">SUMPRODUCT(Tracking[Amount], --(Tracking[Date]&lt;=Tracking[[#This Row],[Date]]), (Tracking[Type]&lt;&gt;"Income")*(-1)+(Tracking[Type]="Income"))</f>
        <v>19088.000000000004</v>
      </c>
      <c r="I24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45983</v>
      </c>
    </row>
    <row r="241" spans="3:9" x14ac:dyDescent="0.35">
      <c r="C241" s="27">
        <v>45984</v>
      </c>
      <c r="D241" s="26" t="s">
        <v>15</v>
      </c>
      <c r="E241" s="26" t="s">
        <v>17</v>
      </c>
      <c r="F241" s="99">
        <v>1400</v>
      </c>
      <c r="G241" s="28" t="s">
        <v>107</v>
      </c>
      <c r="H241" s="102" cm="1">
        <f t="array" ref="H241">SUMPRODUCT(Tracking[Amount], --(Tracking[Date]&lt;=Tracking[[#This Row],[Date]]), (Tracking[Type]&lt;&gt;"Income")*(-1)+(Tracking[Type]="Income"))</f>
        <v>17688.000000000004</v>
      </c>
      <c r="I24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45984</v>
      </c>
    </row>
    <row r="242" spans="3:9" x14ac:dyDescent="0.35">
      <c r="C242" s="27">
        <v>45985</v>
      </c>
      <c r="D242" s="26" t="s">
        <v>11</v>
      </c>
      <c r="E242" s="26" t="s">
        <v>12</v>
      </c>
      <c r="F242" s="99">
        <v>4200</v>
      </c>
      <c r="G242" s="28" t="s">
        <v>107</v>
      </c>
      <c r="H242" s="102" cm="1">
        <f t="array" ref="H242">SUMPRODUCT(Tracking[Amount], --(Tracking[Date]&lt;=Tracking[[#This Row],[Date]]), (Tracking[Type]&lt;&gt;"Income")*(-1)+(Tracking[Type]="Income"))</f>
        <v>13488.000000000004</v>
      </c>
      <c r="I24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45985</v>
      </c>
    </row>
    <row r="243" spans="3:9" x14ac:dyDescent="0.35">
      <c r="C243" s="27">
        <v>45986</v>
      </c>
      <c r="D243" s="26" t="s">
        <v>11</v>
      </c>
      <c r="E243" s="26" t="s">
        <v>103</v>
      </c>
      <c r="F243" s="99">
        <v>71.12</v>
      </c>
      <c r="G243" s="28" t="s">
        <v>107</v>
      </c>
      <c r="H243" s="102" cm="1">
        <f t="array" ref="H243">SUMPRODUCT(Tracking[Amount], --(Tracking[Date]&lt;=Tracking[[#This Row],[Date]]), (Tracking[Type]&lt;&gt;"Income")*(-1)+(Tracking[Type]="Income"))</f>
        <v>13266.880000000003</v>
      </c>
      <c r="I24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45986</v>
      </c>
    </row>
    <row r="244" spans="3:9" x14ac:dyDescent="0.35">
      <c r="C244" s="27">
        <v>45986</v>
      </c>
      <c r="D244" s="26" t="s">
        <v>11</v>
      </c>
      <c r="E244" s="26" t="s">
        <v>104</v>
      </c>
      <c r="F244" s="99">
        <v>150</v>
      </c>
      <c r="G244" s="28" t="s">
        <v>107</v>
      </c>
      <c r="H244" s="102" cm="1">
        <f t="array" ref="H244">SUMPRODUCT(Tracking[Amount], --(Tracking[Date]&lt;=Tracking[[#This Row],[Date]]), (Tracking[Type]&lt;&gt;"Income")*(-1)+(Tracking[Type]="Income"))</f>
        <v>13266.880000000003</v>
      </c>
      <c r="I24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45986</v>
      </c>
    </row>
    <row r="245" spans="3:9" x14ac:dyDescent="0.35">
      <c r="C245" s="27">
        <v>45994</v>
      </c>
      <c r="D245" s="26" t="s">
        <v>11</v>
      </c>
      <c r="E245" s="26" t="s">
        <v>13</v>
      </c>
      <c r="F245" s="99">
        <v>1172.92</v>
      </c>
      <c r="G245" s="28" t="s">
        <v>107</v>
      </c>
      <c r="H245" s="102" cm="1">
        <f t="array" ref="H245">SUMPRODUCT(Tracking[Amount], --(Tracking[Date]&lt;=Tracking[[#This Row],[Date]]), (Tracking[Type]&lt;&gt;"Income")*(-1)+(Tracking[Type]="Income"))</f>
        <v>12093.960000000003</v>
      </c>
      <c r="I24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45994</v>
      </c>
    </row>
    <row r="246" spans="3:9" x14ac:dyDescent="0.35">
      <c r="C246" s="27">
        <v>45996</v>
      </c>
      <c r="D246" s="26" t="s">
        <v>4</v>
      </c>
      <c r="E246" s="26" t="s">
        <v>7</v>
      </c>
      <c r="F246" s="99">
        <v>1639.85</v>
      </c>
      <c r="G246" s="28" t="s">
        <v>107</v>
      </c>
      <c r="H246" s="102" cm="1">
        <f t="array" ref="H246">SUMPRODUCT(Tracking[Amount], --(Tracking[Date]&lt;=Tracking[[#This Row],[Date]]), (Tracking[Type]&lt;&gt;"Income")*(-1)+(Tracking[Type]="Income"))</f>
        <v>13733.810000000003</v>
      </c>
      <c r="I24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45996</v>
      </c>
    </row>
    <row r="247" spans="3:9" x14ac:dyDescent="0.35">
      <c r="C247" s="27">
        <v>45999</v>
      </c>
      <c r="D247" s="26" t="s">
        <v>15</v>
      </c>
      <c r="E247" s="26" t="s">
        <v>10</v>
      </c>
      <c r="F247" s="99">
        <v>300</v>
      </c>
      <c r="G247" s="28" t="s">
        <v>107</v>
      </c>
      <c r="H247" s="102" cm="1">
        <f t="array" ref="H247">SUMPRODUCT(Tracking[Amount], --(Tracking[Date]&lt;=Tracking[[#This Row],[Date]]), (Tracking[Type]&lt;&gt;"Income")*(-1)+(Tracking[Type]="Income"))</f>
        <v>13433.810000000003</v>
      </c>
      <c r="I24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45999</v>
      </c>
    </row>
    <row r="248" spans="3:9" x14ac:dyDescent="0.35">
      <c r="C248" s="27">
        <v>46000</v>
      </c>
      <c r="D248" s="26" t="s">
        <v>4</v>
      </c>
      <c r="E248" s="26" t="s">
        <v>7</v>
      </c>
      <c r="F248" s="99">
        <v>7360.15</v>
      </c>
      <c r="G248" s="28" t="s">
        <v>107</v>
      </c>
      <c r="H248" s="102" cm="1">
        <f t="array" ref="H248">SUMPRODUCT(Tracking[Amount], --(Tracking[Date]&lt;=Tracking[[#This Row],[Date]]), (Tracking[Type]&lt;&gt;"Income")*(-1)+(Tracking[Type]="Income"))</f>
        <v>20793.960000000003</v>
      </c>
      <c r="I24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46000</v>
      </c>
    </row>
    <row r="249" spans="3:9" x14ac:dyDescent="0.35">
      <c r="C249" s="27">
        <v>46002</v>
      </c>
      <c r="D249" s="26" t="s">
        <v>4</v>
      </c>
      <c r="E249" s="26" t="s">
        <v>10</v>
      </c>
      <c r="F249" s="99">
        <v>500</v>
      </c>
      <c r="G249" s="28" t="s">
        <v>107</v>
      </c>
      <c r="H249" s="102" cm="1">
        <f t="array" ref="H249">SUMPRODUCT(Tracking[Amount], --(Tracking[Date]&lt;=Tracking[[#This Row],[Date]]), (Tracking[Type]&lt;&gt;"Income")*(-1)+(Tracking[Type]="Income"))</f>
        <v>21293.960000000003</v>
      </c>
      <c r="I24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46002</v>
      </c>
    </row>
    <row r="250" spans="3:9" x14ac:dyDescent="0.35">
      <c r="C250" s="27">
        <v>46003</v>
      </c>
      <c r="D250" s="26" t="s">
        <v>11</v>
      </c>
      <c r="E250" s="26" t="s">
        <v>10</v>
      </c>
      <c r="F250" s="99">
        <v>303.57</v>
      </c>
      <c r="G250" s="28" t="s">
        <v>107</v>
      </c>
      <c r="H250" s="102" cm="1">
        <f t="array" ref="H250">SUMPRODUCT(Tracking[Amount], --(Tracking[Date]&lt;=Tracking[[#This Row],[Date]]), (Tracking[Type]&lt;&gt;"Income")*(-1)+(Tracking[Type]="Income"))</f>
        <v>20990.390000000003</v>
      </c>
      <c r="I25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46003</v>
      </c>
    </row>
    <row r="251" spans="3:9" x14ac:dyDescent="0.35">
      <c r="C251" s="27">
        <v>46004</v>
      </c>
      <c r="D251" s="26" t="s">
        <v>15</v>
      </c>
      <c r="E251" s="26" t="s">
        <v>17</v>
      </c>
      <c r="F251" s="99">
        <v>1400</v>
      </c>
      <c r="G251" s="28" t="s">
        <v>107</v>
      </c>
      <c r="H251" s="102" cm="1">
        <f t="array" ref="H251">SUMPRODUCT(Tracking[Amount], --(Tracking[Date]&lt;=Tracking[[#This Row],[Date]]), (Tracking[Type]&lt;&gt;"Income")*(-1)+(Tracking[Type]="Income"))</f>
        <v>19590.390000000003</v>
      </c>
      <c r="I25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46004</v>
      </c>
    </row>
    <row r="252" spans="3:9" x14ac:dyDescent="0.35">
      <c r="C252" s="27">
        <v>46005</v>
      </c>
      <c r="D252" s="26" t="s">
        <v>15</v>
      </c>
      <c r="E252" s="26" t="s">
        <v>18</v>
      </c>
      <c r="F252" s="99">
        <v>1800</v>
      </c>
      <c r="G252" s="28" t="s">
        <v>107</v>
      </c>
      <c r="H252" s="102" cm="1">
        <f t="array" ref="H252">SUMPRODUCT(Tracking[Amount], --(Tracking[Date]&lt;=Tracking[[#This Row],[Date]]), (Tracking[Type]&lt;&gt;"Income")*(-1)+(Tracking[Type]="Income"))</f>
        <v>17790.390000000003</v>
      </c>
      <c r="I25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46005</v>
      </c>
    </row>
    <row r="253" spans="3:9" x14ac:dyDescent="0.35">
      <c r="C253" s="27">
        <v>46009</v>
      </c>
      <c r="D253" s="26" t="s">
        <v>4</v>
      </c>
      <c r="E253" s="26" t="s">
        <v>8</v>
      </c>
      <c r="F253" s="99">
        <v>1768.85</v>
      </c>
      <c r="G253" s="28" t="s">
        <v>107</v>
      </c>
      <c r="H253" s="102" cm="1">
        <f t="array" ref="H253">SUMPRODUCT(Tracking[Amount], --(Tracking[Date]&lt;=Tracking[[#This Row],[Date]]), (Tracking[Type]&lt;&gt;"Income")*(-1)+(Tracking[Type]="Income"))</f>
        <v>19559.240000000002</v>
      </c>
      <c r="I25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46009</v>
      </c>
    </row>
    <row r="254" spans="3:9" x14ac:dyDescent="0.35">
      <c r="C254" s="27">
        <v>46011</v>
      </c>
      <c r="D254" s="26" t="s">
        <v>11</v>
      </c>
      <c r="E254" s="26" t="s">
        <v>103</v>
      </c>
      <c r="F254" s="99">
        <v>900</v>
      </c>
      <c r="G254" s="28" t="s">
        <v>107</v>
      </c>
      <c r="H254" s="102" cm="1">
        <f t="array" ref="H254">SUMPRODUCT(Tracking[Amount], --(Tracking[Date]&lt;=Tracking[[#This Row],[Date]]), (Tracking[Type]&lt;&gt;"Income")*(-1)+(Tracking[Type]="Income"))</f>
        <v>18659.240000000002</v>
      </c>
      <c r="I25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46011</v>
      </c>
    </row>
    <row r="255" spans="3:9" x14ac:dyDescent="0.35">
      <c r="C255" s="27">
        <v>46013</v>
      </c>
      <c r="D255" s="26" t="s">
        <v>4</v>
      </c>
      <c r="E255" s="26" t="s">
        <v>9</v>
      </c>
      <c r="F255" s="99">
        <v>700</v>
      </c>
      <c r="G255" s="28" t="s">
        <v>107</v>
      </c>
      <c r="H255" s="102" cm="1">
        <f t="array" ref="H255">SUMPRODUCT(Tracking[Amount], --(Tracking[Date]&lt;=Tracking[[#This Row],[Date]]), (Tracking[Type]&lt;&gt;"Income")*(-1)+(Tracking[Type]="Income"))</f>
        <v>17198.440000000002</v>
      </c>
      <c r="I25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46023</v>
      </c>
    </row>
    <row r="256" spans="3:9" x14ac:dyDescent="0.35">
      <c r="C256" s="27">
        <v>46013</v>
      </c>
      <c r="D256" s="26" t="s">
        <v>11</v>
      </c>
      <c r="E256" s="26" t="s">
        <v>12</v>
      </c>
      <c r="F256" s="99">
        <v>1864.37</v>
      </c>
      <c r="G256" s="28" t="s">
        <v>107</v>
      </c>
      <c r="H256" s="102" cm="1">
        <f t="array" ref="H256">SUMPRODUCT(Tracking[Amount], --(Tracking[Date]&lt;=Tracking[[#This Row],[Date]]), (Tracking[Type]&lt;&gt;"Income")*(-1)+(Tracking[Type]="Income"))</f>
        <v>17198.440000000002</v>
      </c>
      <c r="I25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46013</v>
      </c>
    </row>
    <row r="257" spans="3:9" x14ac:dyDescent="0.35">
      <c r="C257" s="27">
        <v>46013</v>
      </c>
      <c r="D257" s="26" t="s">
        <v>11</v>
      </c>
      <c r="E257" s="26" t="s">
        <v>10</v>
      </c>
      <c r="F257" s="99">
        <v>296.43</v>
      </c>
      <c r="G257" s="28" t="s">
        <v>107</v>
      </c>
      <c r="H257" s="102" cm="1">
        <f t="array" ref="H257">SUMPRODUCT(Tracking[Amount], --(Tracking[Date]&lt;=Tracking[[#This Row],[Date]]), (Tracking[Type]&lt;&gt;"Income")*(-1)+(Tracking[Type]="Income"))</f>
        <v>17198.440000000002</v>
      </c>
      <c r="I25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46013</v>
      </c>
    </row>
    <row r="258" spans="3:9" x14ac:dyDescent="0.35">
      <c r="C258" s="27">
        <v>46016</v>
      </c>
      <c r="D258" s="26" t="s">
        <v>11</v>
      </c>
      <c r="E258" s="26" t="s">
        <v>12</v>
      </c>
      <c r="F258" s="99">
        <v>2335.63</v>
      </c>
      <c r="G258" s="28" t="s">
        <v>107</v>
      </c>
      <c r="H258" s="102" cm="1">
        <f t="array" ref="H258">SUMPRODUCT(Tracking[Amount], --(Tracking[Date]&lt;=Tracking[[#This Row],[Date]]), (Tracking[Type]&lt;&gt;"Income")*(-1)+(Tracking[Type]="Income"))</f>
        <v>14562.810000000001</v>
      </c>
      <c r="I25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46016</v>
      </c>
    </row>
    <row r="259" spans="3:9" x14ac:dyDescent="0.35">
      <c r="C259" s="27">
        <v>46016</v>
      </c>
      <c r="D259" s="26" t="s">
        <v>11</v>
      </c>
      <c r="E259" s="26" t="s">
        <v>104</v>
      </c>
      <c r="F259" s="99">
        <v>300</v>
      </c>
      <c r="G259" s="28" t="s">
        <v>107</v>
      </c>
      <c r="H259" s="102" cm="1">
        <f t="array" ref="H259">SUMPRODUCT(Tracking[Amount], --(Tracking[Date]&lt;=Tracking[[#This Row],[Date]]), (Tracking[Type]&lt;&gt;"Income")*(-1)+(Tracking[Type]="Income"))</f>
        <v>14562.810000000001</v>
      </c>
      <c r="I25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46016</v>
      </c>
    </row>
    <row r="260" spans="3:9" x14ac:dyDescent="0.35">
      <c r="C260" s="27">
        <v>46017</v>
      </c>
      <c r="D260" s="26" t="s">
        <v>4</v>
      </c>
      <c r="E260" s="26" t="s">
        <v>8</v>
      </c>
      <c r="F260" s="99">
        <v>631.15</v>
      </c>
      <c r="G260" s="28" t="s">
        <v>107</v>
      </c>
      <c r="H260" s="102" cm="1">
        <f t="array" ref="H260">SUMPRODUCT(Tracking[Amount], --(Tracking[Date]&lt;=Tracking[[#This Row],[Date]]), (Tracking[Type]&lt;&gt;"Income")*(-1)+(Tracking[Type]="Income"))</f>
        <v>15193.960000000001</v>
      </c>
      <c r="I26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46023</v>
      </c>
    </row>
    <row r="261" spans="3:9" x14ac:dyDescent="0.35">
      <c r="C261" s="27">
        <v>46018</v>
      </c>
      <c r="D261" s="26" t="s">
        <v>11</v>
      </c>
      <c r="E261" s="26" t="s">
        <v>13</v>
      </c>
      <c r="F261" s="99">
        <v>627.08000000000004</v>
      </c>
      <c r="G261" s="28" t="s">
        <v>107</v>
      </c>
      <c r="H261" s="102" cm="1">
        <f t="array" ref="H261">SUMPRODUCT(Tracking[Amount], --(Tracking[Date]&lt;=Tracking[[#This Row],[Date]]), (Tracking[Type]&lt;&gt;"Income")*(-1)+(Tracking[Type]="Income"))</f>
        <v>13366.880000000001</v>
      </c>
      <c r="I26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46018</v>
      </c>
    </row>
    <row r="262" spans="3:9" x14ac:dyDescent="0.35">
      <c r="C262" s="27">
        <v>46018</v>
      </c>
      <c r="D262" s="26" t="s">
        <v>15</v>
      </c>
      <c r="E262" s="26" t="s">
        <v>16</v>
      </c>
      <c r="F262" s="99">
        <v>1200</v>
      </c>
      <c r="G262" s="28" t="s">
        <v>107</v>
      </c>
      <c r="H262" s="102" cm="1">
        <f t="array" ref="H262">SUMPRODUCT(Tracking[Amount], --(Tracking[Date]&lt;=Tracking[[#This Row],[Date]]), (Tracking[Type]&lt;&gt;"Income")*(-1)+(Tracking[Type]="Income"))</f>
        <v>13366.880000000001</v>
      </c>
      <c r="I26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46018</v>
      </c>
    </row>
    <row r="263" spans="3:9" x14ac:dyDescent="0.35">
      <c r="C263" s="27">
        <v>46023</v>
      </c>
      <c r="D263" s="26" t="s">
        <v>11</v>
      </c>
      <c r="E263" s="26" t="s">
        <v>12</v>
      </c>
      <c r="F263" s="99">
        <v>1885.57</v>
      </c>
      <c r="G263" s="28" t="s">
        <v>107</v>
      </c>
      <c r="H263" s="102" cm="1">
        <f t="array" ref="H263">SUMPRODUCT(Tracking[Amount], --(Tracking[Date]&lt;=Tracking[[#This Row],[Date]]), (Tracking[Type]&lt;&gt;"Income")*(-1)+(Tracking[Type]="Income"))</f>
        <v>11481.310000000001</v>
      </c>
      <c r="I26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46023</v>
      </c>
    </row>
    <row r="264" spans="3:9" x14ac:dyDescent="0.35">
      <c r="C264" s="27">
        <v>46030</v>
      </c>
      <c r="D264" s="26" t="s">
        <v>11</v>
      </c>
      <c r="E264" s="26" t="s">
        <v>12</v>
      </c>
      <c r="F264" s="99">
        <v>2414.4299999999998</v>
      </c>
      <c r="G264" s="28" t="s">
        <v>107</v>
      </c>
      <c r="H264" s="102" cm="1">
        <f t="array" ref="H264">SUMPRODUCT(Tracking[Amount], --(Tracking[Date]&lt;=Tracking[[#This Row],[Date]]), (Tracking[Type]&lt;&gt;"Income")*(-1)+(Tracking[Type]="Income"))</f>
        <v>9066.880000000001</v>
      </c>
      <c r="I26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46030</v>
      </c>
    </row>
    <row r="265" spans="3:9" x14ac:dyDescent="0.35">
      <c r="C265" s="27">
        <v>46031</v>
      </c>
      <c r="D265" s="26" t="s">
        <v>11</v>
      </c>
      <c r="E265" s="26" t="s">
        <v>104</v>
      </c>
      <c r="F265" s="99">
        <v>152.74</v>
      </c>
      <c r="G265" s="28" t="s">
        <v>107</v>
      </c>
      <c r="H265" s="102" cm="1">
        <f t="array" ref="H265">SUMPRODUCT(Tracking[Amount], --(Tracking[Date]&lt;=Tracking[[#This Row],[Date]]), (Tracking[Type]&lt;&gt;"Income")*(-1)+(Tracking[Type]="Income"))</f>
        <v>8914.1400000000012</v>
      </c>
      <c r="I26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46031</v>
      </c>
    </row>
    <row r="266" spans="3:9" x14ac:dyDescent="0.35">
      <c r="C266" s="27">
        <v>46032</v>
      </c>
      <c r="D266" s="26" t="s">
        <v>15</v>
      </c>
      <c r="E266" s="26" t="s">
        <v>17</v>
      </c>
      <c r="F266" s="99">
        <v>214.26</v>
      </c>
      <c r="G266" s="28" t="s">
        <v>107</v>
      </c>
      <c r="H266" s="102" cm="1">
        <f t="array" ref="H266">SUMPRODUCT(Tracking[Amount], --(Tracking[Date]&lt;=Tracking[[#This Row],[Date]]), (Tracking[Type]&lt;&gt;"Income")*(-1)+(Tracking[Type]="Income"))</f>
        <v>8699.880000000001</v>
      </c>
      <c r="I26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46032</v>
      </c>
    </row>
    <row r="267" spans="3:9" x14ac:dyDescent="0.35">
      <c r="C267" s="27">
        <v>46033</v>
      </c>
      <c r="D267" s="26" t="s">
        <v>4</v>
      </c>
      <c r="E267" s="26" t="s">
        <v>7</v>
      </c>
      <c r="F267" s="99">
        <v>9200</v>
      </c>
      <c r="G267" s="28" t="s">
        <v>107</v>
      </c>
      <c r="H267" s="102" cm="1">
        <f t="array" ref="H267">SUMPRODUCT(Tracking[Amount], --(Tracking[Date]&lt;=Tracking[[#This Row],[Date]]), (Tracking[Type]&lt;&gt;"Income")*(-1)+(Tracking[Type]="Income"))</f>
        <v>17899.88</v>
      </c>
      <c r="I26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46033</v>
      </c>
    </row>
    <row r="268" spans="3:9" x14ac:dyDescent="0.35">
      <c r="C268" s="27">
        <v>46034</v>
      </c>
      <c r="D268" s="26" t="s">
        <v>11</v>
      </c>
      <c r="E268" s="26" t="s">
        <v>104</v>
      </c>
      <c r="F268" s="99">
        <v>47.26</v>
      </c>
      <c r="G268" s="28" t="s">
        <v>107</v>
      </c>
      <c r="H268" s="102" cm="1">
        <f t="array" ref="H268">SUMPRODUCT(Tracking[Amount], --(Tracking[Date]&lt;=Tracking[[#This Row],[Date]]), (Tracking[Type]&lt;&gt;"Income")*(-1)+(Tracking[Type]="Income"))</f>
        <v>17847.580000000002</v>
      </c>
      <c r="I26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46034</v>
      </c>
    </row>
    <row r="269" spans="3:9" x14ac:dyDescent="0.35">
      <c r="C269" s="27">
        <v>46034</v>
      </c>
      <c r="D269" s="26" t="s">
        <v>15</v>
      </c>
      <c r="E269" s="26" t="s">
        <v>10</v>
      </c>
      <c r="F269" s="99">
        <v>5.04</v>
      </c>
      <c r="G269" s="28" t="s">
        <v>107</v>
      </c>
      <c r="H269" s="102" cm="1">
        <f t="array" ref="H269">SUMPRODUCT(Tracking[Amount], --(Tracking[Date]&lt;=Tracking[[#This Row],[Date]]), (Tracking[Type]&lt;&gt;"Income")*(-1)+(Tracking[Type]="Income"))</f>
        <v>17847.580000000002</v>
      </c>
      <c r="I26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46034</v>
      </c>
    </row>
    <row r="270" spans="3:9" x14ac:dyDescent="0.35">
      <c r="C270" s="27">
        <v>46037</v>
      </c>
      <c r="D270" s="26" t="s">
        <v>15</v>
      </c>
      <c r="E270" s="26" t="s">
        <v>10</v>
      </c>
      <c r="F270" s="99">
        <v>144.96</v>
      </c>
      <c r="G270" s="28" t="s">
        <v>107</v>
      </c>
      <c r="H270" s="102" cm="1">
        <f t="array" ref="H270">SUMPRODUCT(Tracking[Amount], --(Tracking[Date]&lt;=Tracking[[#This Row],[Date]]), (Tracking[Type]&lt;&gt;"Income")*(-1)+(Tracking[Type]="Income"))</f>
        <v>16416.88</v>
      </c>
      <c r="I27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46037</v>
      </c>
    </row>
    <row r="271" spans="3:9" x14ac:dyDescent="0.35">
      <c r="C271" s="27">
        <v>46037</v>
      </c>
      <c r="D271" s="26" t="s">
        <v>15</v>
      </c>
      <c r="E271" s="26" t="s">
        <v>17</v>
      </c>
      <c r="F271" s="99">
        <v>1285.74</v>
      </c>
      <c r="G271" s="28" t="s">
        <v>107</v>
      </c>
      <c r="H271" s="102" cm="1">
        <f t="array" ref="H271">SUMPRODUCT(Tracking[Amount], --(Tracking[Date]&lt;=Tracking[[#This Row],[Date]]), (Tracking[Type]&lt;&gt;"Income")*(-1)+(Tracking[Type]="Income"))</f>
        <v>16416.88</v>
      </c>
      <c r="I27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46037</v>
      </c>
    </row>
    <row r="272" spans="3:9" x14ac:dyDescent="0.35">
      <c r="C272" s="27">
        <v>46039</v>
      </c>
      <c r="D272" s="26" t="s">
        <v>11</v>
      </c>
      <c r="E272" s="26" t="s">
        <v>10</v>
      </c>
      <c r="F272" s="99">
        <v>89.22</v>
      </c>
      <c r="G272" s="28" t="s">
        <v>107</v>
      </c>
      <c r="H272" s="102" cm="1">
        <f t="array" ref="H272">SUMPRODUCT(Tracking[Amount], --(Tracking[Date]&lt;=Tracking[[#This Row],[Date]]), (Tracking[Type]&lt;&gt;"Income")*(-1)+(Tracking[Type]="Income"))</f>
        <v>16327.660000000002</v>
      </c>
      <c r="I27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46039</v>
      </c>
    </row>
    <row r="273" spans="3:9" x14ac:dyDescent="0.35">
      <c r="C273" s="27">
        <v>46043</v>
      </c>
      <c r="D273" s="26" t="s">
        <v>11</v>
      </c>
      <c r="E273" s="26" t="s">
        <v>10</v>
      </c>
      <c r="F273" s="99">
        <v>110.78</v>
      </c>
      <c r="G273" s="28" t="s">
        <v>107</v>
      </c>
      <c r="H273" s="102" cm="1">
        <f t="array" ref="H273">SUMPRODUCT(Tracking[Amount], --(Tracking[Date]&lt;=Tracking[[#This Row],[Date]]), (Tracking[Type]&lt;&gt;"Income")*(-1)+(Tracking[Type]="Income"))</f>
        <v>15216.880000000001</v>
      </c>
      <c r="I27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46043</v>
      </c>
    </row>
    <row r="274" spans="3:9" x14ac:dyDescent="0.35">
      <c r="C274" s="27">
        <v>46043</v>
      </c>
      <c r="D274" s="26" t="s">
        <v>15</v>
      </c>
      <c r="E274" s="26" t="s">
        <v>18</v>
      </c>
      <c r="F274" s="99">
        <v>1000</v>
      </c>
      <c r="G274" s="28" t="s">
        <v>107</v>
      </c>
      <c r="H274" s="102" cm="1">
        <f t="array" ref="H274">SUMPRODUCT(Tracking[Amount], --(Tracking[Date]&lt;=Tracking[[#This Row],[Date]]), (Tracking[Type]&lt;&gt;"Income")*(-1)+(Tracking[Type]="Income"))</f>
        <v>15216.880000000001</v>
      </c>
      <c r="I27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46043</v>
      </c>
    </row>
    <row r="275" spans="3:9" x14ac:dyDescent="0.35">
      <c r="C275" s="27">
        <v>46044</v>
      </c>
      <c r="D275" s="26" t="s">
        <v>11</v>
      </c>
      <c r="E275" s="26" t="s">
        <v>103</v>
      </c>
      <c r="F275" s="99">
        <v>177.53</v>
      </c>
      <c r="G275" s="28" t="s">
        <v>107</v>
      </c>
      <c r="H275" s="102" cm="1">
        <f t="array" ref="H275">SUMPRODUCT(Tracking[Amount], --(Tracking[Date]&lt;=Tracking[[#This Row],[Date]]), (Tracking[Type]&lt;&gt;"Income")*(-1)+(Tracking[Type]="Income"))</f>
        <v>15039.35</v>
      </c>
      <c r="I27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46044</v>
      </c>
    </row>
    <row r="276" spans="3:9" x14ac:dyDescent="0.35">
      <c r="C276" s="27">
        <v>46046</v>
      </c>
      <c r="D276" s="26" t="s">
        <v>15</v>
      </c>
      <c r="E276" s="26" t="s">
        <v>16</v>
      </c>
      <c r="F276" s="99">
        <v>1300</v>
      </c>
      <c r="G276" s="28" t="s">
        <v>107</v>
      </c>
      <c r="H276" s="102" cm="1">
        <f t="array" ref="H276">SUMPRODUCT(Tracking[Amount], --(Tracking[Date]&lt;=Tracking[[#This Row],[Date]]), (Tracking[Type]&lt;&gt;"Income")*(-1)+(Tracking[Type]="Income"))</f>
        <v>13857.050000000001</v>
      </c>
      <c r="I27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46046</v>
      </c>
    </row>
    <row r="277" spans="3:9" x14ac:dyDescent="0.35">
      <c r="C277" s="27">
        <v>46046</v>
      </c>
      <c r="D277" s="26" t="s">
        <v>4</v>
      </c>
      <c r="E277" s="26" t="s">
        <v>10</v>
      </c>
      <c r="F277" s="99">
        <v>117.7</v>
      </c>
      <c r="G277" s="28" t="s">
        <v>107</v>
      </c>
      <c r="H277" s="102" cm="1">
        <f t="array" ref="H277">SUMPRODUCT(Tracking[Amount], --(Tracking[Date]&lt;=Tracking[[#This Row],[Date]]), (Tracking[Type]&lt;&gt;"Income")*(-1)+(Tracking[Type]="Income"))</f>
        <v>13857.050000000001</v>
      </c>
      <c r="I27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46054</v>
      </c>
    </row>
    <row r="278" spans="3:9" x14ac:dyDescent="0.35">
      <c r="C278" s="27">
        <v>46047</v>
      </c>
      <c r="D278" s="26" t="s">
        <v>4</v>
      </c>
      <c r="E278" s="26" t="s">
        <v>10</v>
      </c>
      <c r="F278" s="99">
        <v>82.3</v>
      </c>
      <c r="G278" s="28" t="s">
        <v>107</v>
      </c>
      <c r="H278" s="102" cm="1">
        <f t="array" ref="H278">SUMPRODUCT(Tracking[Amount], --(Tracking[Date]&lt;=Tracking[[#This Row],[Date]]), (Tracking[Type]&lt;&gt;"Income")*(-1)+(Tracking[Type]="Income"))</f>
        <v>13939.35</v>
      </c>
      <c r="I27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46054</v>
      </c>
    </row>
    <row r="279" spans="3:9" x14ac:dyDescent="0.35">
      <c r="C279" s="27">
        <v>46049</v>
      </c>
      <c r="D279" s="26" t="s">
        <v>11</v>
      </c>
      <c r="E279" s="26" t="s">
        <v>103</v>
      </c>
      <c r="F279" s="99">
        <v>322.47000000000003</v>
      </c>
      <c r="G279" s="28" t="s">
        <v>107</v>
      </c>
      <c r="H279" s="102" cm="1">
        <f t="array" ref="H279">SUMPRODUCT(Tracking[Amount], --(Tracking[Date]&lt;=Tracking[[#This Row],[Date]]), (Tracking[Type]&lt;&gt;"Income")*(-1)+(Tracking[Type]="Income"))</f>
        <v>13616.880000000001</v>
      </c>
      <c r="I27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46049</v>
      </c>
    </row>
    <row r="280" spans="3:9" x14ac:dyDescent="0.35">
      <c r="C280" s="27">
        <v>46060</v>
      </c>
      <c r="D280" s="26" t="s">
        <v>15</v>
      </c>
      <c r="E280" s="26" t="s">
        <v>17</v>
      </c>
      <c r="F280" s="99">
        <v>1000.41</v>
      </c>
      <c r="G280" s="28" t="s">
        <v>107</v>
      </c>
      <c r="H280" s="102" cm="1">
        <f t="array" ref="H280">SUMPRODUCT(Tracking[Amount], --(Tracking[Date]&lt;=Tracking[[#This Row],[Date]]), (Tracking[Type]&lt;&gt;"Income")*(-1)+(Tracking[Type]="Income"))</f>
        <v>12616.470000000001</v>
      </c>
      <c r="I28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46060</v>
      </c>
    </row>
    <row r="281" spans="3:9" x14ac:dyDescent="0.35">
      <c r="C281" s="27">
        <v>46061</v>
      </c>
      <c r="D281" s="26" t="s">
        <v>11</v>
      </c>
      <c r="E281" s="26" t="s">
        <v>104</v>
      </c>
      <c r="F281" s="99">
        <v>74.05</v>
      </c>
      <c r="G281" s="28" t="s">
        <v>107</v>
      </c>
      <c r="H281" s="102" cm="1">
        <f t="array" ref="H281">SUMPRODUCT(Tracking[Amount], --(Tracking[Date]&lt;=Tracking[[#This Row],[Date]]), (Tracking[Type]&lt;&gt;"Income")*(-1)+(Tracking[Type]="Income"))</f>
        <v>12634.050000000001</v>
      </c>
      <c r="I28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46061</v>
      </c>
    </row>
    <row r="282" spans="3:9" x14ac:dyDescent="0.35">
      <c r="C282" s="27">
        <v>46061</v>
      </c>
      <c r="D282" s="26" t="s">
        <v>4</v>
      </c>
      <c r="E282" s="26" t="s">
        <v>10</v>
      </c>
      <c r="F282" s="99">
        <v>91.63</v>
      </c>
      <c r="G282" s="28" t="s">
        <v>107</v>
      </c>
      <c r="H282" s="102" cm="1">
        <f t="array" ref="H282">SUMPRODUCT(Tracking[Amount], --(Tracking[Date]&lt;=Tracking[[#This Row],[Date]]), (Tracking[Type]&lt;&gt;"Income")*(-1)+(Tracking[Type]="Income"))</f>
        <v>12634.050000000001</v>
      </c>
      <c r="I28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46061</v>
      </c>
    </row>
    <row r="283" spans="3:9" x14ac:dyDescent="0.35">
      <c r="C283" s="27">
        <v>46062</v>
      </c>
      <c r="D283" s="26" t="s">
        <v>11</v>
      </c>
      <c r="E283" s="26" t="s">
        <v>10</v>
      </c>
      <c r="F283" s="99">
        <v>77.17</v>
      </c>
      <c r="G283" s="28" t="s">
        <v>107</v>
      </c>
      <c r="H283" s="102" cm="1">
        <f t="array" ref="H283">SUMPRODUCT(Tracking[Amount], --(Tracking[Date]&lt;=Tracking[[#This Row],[Date]]), (Tracking[Type]&lt;&gt;"Income")*(-1)+(Tracking[Type]="Income"))</f>
        <v>12556.880000000001</v>
      </c>
      <c r="I28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46062</v>
      </c>
    </row>
    <row r="284" spans="3:9" x14ac:dyDescent="0.35">
      <c r="C284" s="27">
        <v>46063</v>
      </c>
      <c r="D284" s="26" t="s">
        <v>15</v>
      </c>
      <c r="E284" s="26" t="s">
        <v>17</v>
      </c>
      <c r="F284" s="99">
        <v>499.59</v>
      </c>
      <c r="G284" s="28" t="s">
        <v>107</v>
      </c>
      <c r="H284" s="102" cm="1">
        <f t="array" ref="H284">SUMPRODUCT(Tracking[Amount], --(Tracking[Date]&lt;=Tracking[[#This Row],[Date]]), (Tracking[Type]&lt;&gt;"Income")*(-1)+(Tracking[Type]="Income"))</f>
        <v>12057.29</v>
      </c>
      <c r="I28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46063</v>
      </c>
    </row>
    <row r="285" spans="3:9" x14ac:dyDescent="0.35">
      <c r="C285" s="27">
        <v>46067</v>
      </c>
      <c r="D285" s="26" t="s">
        <v>4</v>
      </c>
      <c r="E285" s="26" t="s">
        <v>9</v>
      </c>
      <c r="F285" s="99">
        <v>170.56</v>
      </c>
      <c r="G285" s="28" t="s">
        <v>107</v>
      </c>
      <c r="H285" s="102" cm="1">
        <f t="array" ref="H285">SUMPRODUCT(Tracking[Amount], --(Tracking[Date]&lt;=Tracking[[#This Row],[Date]]), (Tracking[Type]&lt;&gt;"Income")*(-1)+(Tracking[Type]="Income"))</f>
        <v>14627.85</v>
      </c>
      <c r="I28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46067</v>
      </c>
    </row>
    <row r="286" spans="3:9" x14ac:dyDescent="0.35">
      <c r="C286" s="27">
        <v>46067</v>
      </c>
      <c r="D286" s="26" t="s">
        <v>4</v>
      </c>
      <c r="E286" s="26" t="s">
        <v>8</v>
      </c>
      <c r="F286" s="99">
        <v>2400</v>
      </c>
      <c r="G286" s="28" t="s">
        <v>107</v>
      </c>
      <c r="H286" s="102" cm="1">
        <f t="array" ref="H286">SUMPRODUCT(Tracking[Amount], --(Tracking[Date]&lt;=Tracking[[#This Row],[Date]]), (Tracking[Type]&lt;&gt;"Income")*(-1)+(Tracking[Type]="Income"))</f>
        <v>14627.85</v>
      </c>
      <c r="I28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46067</v>
      </c>
    </row>
    <row r="287" spans="3:9" x14ac:dyDescent="0.35">
      <c r="C287" s="27">
        <v>46068</v>
      </c>
      <c r="D287" s="26" t="s">
        <v>15</v>
      </c>
      <c r="E287" s="26" t="s">
        <v>18</v>
      </c>
      <c r="F287" s="99">
        <v>1130.04</v>
      </c>
      <c r="G287" s="28" t="s">
        <v>107</v>
      </c>
      <c r="H287" s="102" cm="1">
        <f t="array" ref="H287">SUMPRODUCT(Tracking[Amount], --(Tracking[Date]&lt;=Tracking[[#This Row],[Date]]), (Tracking[Type]&lt;&gt;"Income")*(-1)+(Tracking[Type]="Income"))</f>
        <v>13497.810000000001</v>
      </c>
      <c r="I28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46068</v>
      </c>
    </row>
    <row r="288" spans="3:9" x14ac:dyDescent="0.35">
      <c r="C288" s="27">
        <v>46069</v>
      </c>
      <c r="D288" s="26" t="s">
        <v>15</v>
      </c>
      <c r="E288" s="26" t="s">
        <v>10</v>
      </c>
      <c r="F288" s="99">
        <v>35.700000000000003</v>
      </c>
      <c r="G288" s="28" t="s">
        <v>107</v>
      </c>
      <c r="H288" s="102" cm="1">
        <f t="array" ref="H288">SUMPRODUCT(Tracking[Amount], --(Tracking[Date]&lt;=Tracking[[#This Row],[Date]]), (Tracking[Type]&lt;&gt;"Income")*(-1)+(Tracking[Type]="Income"))</f>
        <v>21812.22</v>
      </c>
      <c r="I28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46069</v>
      </c>
    </row>
    <row r="289" spans="3:9" x14ac:dyDescent="0.35">
      <c r="C289" s="27">
        <v>46069</v>
      </c>
      <c r="D289" s="26" t="s">
        <v>4</v>
      </c>
      <c r="E289" s="26" t="s">
        <v>7</v>
      </c>
      <c r="F289" s="99">
        <v>8350.11</v>
      </c>
      <c r="G289" s="28" t="s">
        <v>107</v>
      </c>
      <c r="H289" s="102" cm="1">
        <f t="array" ref="H289">SUMPRODUCT(Tracking[Amount], --(Tracking[Date]&lt;=Tracking[[#This Row],[Date]]), (Tracking[Type]&lt;&gt;"Income")*(-1)+(Tracking[Type]="Income"))</f>
        <v>21812.22</v>
      </c>
      <c r="I28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46069</v>
      </c>
    </row>
    <row r="290" spans="3:9" x14ac:dyDescent="0.35">
      <c r="C290" s="27">
        <v>46071</v>
      </c>
      <c r="D290" s="26" t="s">
        <v>4</v>
      </c>
      <c r="E290" s="26" t="s">
        <v>7</v>
      </c>
      <c r="F290" s="99">
        <v>849.89</v>
      </c>
      <c r="G290" s="28" t="s">
        <v>107</v>
      </c>
      <c r="H290" s="102" cm="1">
        <f t="array" ref="H290">SUMPRODUCT(Tracking[Amount], --(Tracking[Date]&lt;=Tracking[[#This Row],[Date]]), (Tracking[Type]&lt;&gt;"Income")*(-1)+(Tracking[Type]="Income"))</f>
        <v>22589.279999999999</v>
      </c>
      <c r="I29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46071</v>
      </c>
    </row>
    <row r="291" spans="3:9" x14ac:dyDescent="0.35">
      <c r="C291" s="27">
        <v>46071</v>
      </c>
      <c r="D291" s="26" t="s">
        <v>11</v>
      </c>
      <c r="E291" s="26" t="s">
        <v>10</v>
      </c>
      <c r="F291" s="99">
        <v>72.83</v>
      </c>
      <c r="G291" s="28" t="s">
        <v>107</v>
      </c>
      <c r="H291" s="102" cm="1">
        <f t="array" ref="H291">SUMPRODUCT(Tracking[Amount], --(Tracking[Date]&lt;=Tracking[[#This Row],[Date]]), (Tracking[Type]&lt;&gt;"Income")*(-1)+(Tracking[Type]="Income"))</f>
        <v>22589.279999999999</v>
      </c>
      <c r="I29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46071</v>
      </c>
    </row>
    <row r="292" spans="3:9" x14ac:dyDescent="0.35">
      <c r="C292" s="27">
        <v>46072</v>
      </c>
      <c r="D292" s="26" t="s">
        <v>4</v>
      </c>
      <c r="E292" s="26" t="s">
        <v>10</v>
      </c>
      <c r="F292" s="99">
        <v>58.37</v>
      </c>
      <c r="G292" s="28" t="s">
        <v>107</v>
      </c>
      <c r="H292" s="102" cm="1">
        <f t="array" ref="H292">SUMPRODUCT(Tracking[Amount], --(Tracking[Date]&lt;=Tracking[[#This Row],[Date]]), (Tracking[Type]&lt;&gt;"Income")*(-1)+(Tracking[Type]="Income"))</f>
        <v>22647.649999999998</v>
      </c>
      <c r="I29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46072</v>
      </c>
    </row>
    <row r="293" spans="3:9" x14ac:dyDescent="0.35">
      <c r="C293" s="27">
        <v>46073</v>
      </c>
      <c r="D293" s="26" t="s">
        <v>15</v>
      </c>
      <c r="E293" s="26" t="s">
        <v>18</v>
      </c>
      <c r="F293" s="99">
        <v>69.959999999999994</v>
      </c>
      <c r="G293" s="28" t="s">
        <v>107</v>
      </c>
      <c r="H293" s="102" cm="1">
        <f t="array" ref="H293">SUMPRODUCT(Tracking[Amount], --(Tracking[Date]&lt;=Tracking[[#This Row],[Date]]), (Tracking[Type]&lt;&gt;"Income")*(-1)+(Tracking[Type]="Income"))</f>
        <v>22577.69</v>
      </c>
      <c r="I29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46073</v>
      </c>
    </row>
    <row r="294" spans="3:9" x14ac:dyDescent="0.35">
      <c r="C294" s="27">
        <v>46074</v>
      </c>
      <c r="D294" s="26" t="s">
        <v>15</v>
      </c>
      <c r="E294" s="26" t="s">
        <v>16</v>
      </c>
      <c r="F294" s="99">
        <v>409.17</v>
      </c>
      <c r="G294" s="28" t="s">
        <v>107</v>
      </c>
      <c r="H294" s="102" cm="1">
        <f t="array" ref="H294">SUMPRODUCT(Tracking[Amount], --(Tracking[Date]&lt;=Tracking[[#This Row],[Date]]), (Tracking[Type]&lt;&gt;"Income")*(-1)+(Tracking[Type]="Income"))</f>
        <v>20968.52</v>
      </c>
      <c r="I29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46074</v>
      </c>
    </row>
    <row r="295" spans="3:9" x14ac:dyDescent="0.35">
      <c r="C295" s="27">
        <v>46074</v>
      </c>
      <c r="D295" s="26" t="s">
        <v>11</v>
      </c>
      <c r="E295" s="26" t="s">
        <v>106</v>
      </c>
      <c r="F295" s="99">
        <v>1200</v>
      </c>
      <c r="G295" s="28" t="s">
        <v>107</v>
      </c>
      <c r="H295" s="102" cm="1">
        <f t="array" ref="H295">SUMPRODUCT(Tracking[Amount], --(Tracking[Date]&lt;=Tracking[[#This Row],[Date]]), (Tracking[Type]&lt;&gt;"Income")*(-1)+(Tracking[Type]="Income"))</f>
        <v>20968.52</v>
      </c>
      <c r="I29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46074</v>
      </c>
    </row>
    <row r="296" spans="3:9" x14ac:dyDescent="0.35">
      <c r="C296" s="27">
        <v>46076</v>
      </c>
      <c r="D296" s="26" t="s">
        <v>11</v>
      </c>
      <c r="E296" s="26" t="s">
        <v>103</v>
      </c>
      <c r="F296" s="99">
        <v>450</v>
      </c>
      <c r="G296" s="28" t="s">
        <v>107</v>
      </c>
      <c r="H296" s="102" cm="1">
        <f t="array" ref="H296">SUMPRODUCT(Tracking[Amount], --(Tracking[Date]&lt;=Tracking[[#This Row],[Date]]), (Tracking[Type]&lt;&gt;"Income")*(-1)+(Tracking[Type]="Income"))</f>
        <v>18704.22</v>
      </c>
      <c r="I29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46076</v>
      </c>
    </row>
    <row r="297" spans="3:9" x14ac:dyDescent="0.35">
      <c r="C297" s="27">
        <v>46076</v>
      </c>
      <c r="D297" s="26" t="s">
        <v>11</v>
      </c>
      <c r="E297" s="26" t="s">
        <v>13</v>
      </c>
      <c r="F297" s="99">
        <v>1750</v>
      </c>
      <c r="G297" s="28" t="s">
        <v>107</v>
      </c>
      <c r="H297" s="102" cm="1">
        <f t="array" ref="H297">SUMPRODUCT(Tracking[Amount], --(Tracking[Date]&lt;=Tracking[[#This Row],[Date]]), (Tracking[Type]&lt;&gt;"Income")*(-1)+(Tracking[Type]="Income"))</f>
        <v>18704.22</v>
      </c>
      <c r="I29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46076</v>
      </c>
    </row>
    <row r="298" spans="3:9" x14ac:dyDescent="0.35">
      <c r="C298" s="27">
        <v>46076</v>
      </c>
      <c r="D298" s="26" t="s">
        <v>15</v>
      </c>
      <c r="E298" s="26" t="s">
        <v>10</v>
      </c>
      <c r="F298" s="99">
        <v>64.3</v>
      </c>
      <c r="G298" s="28" t="s">
        <v>107</v>
      </c>
      <c r="H298" s="102" cm="1">
        <f t="array" ref="H298">SUMPRODUCT(Tracking[Amount], --(Tracking[Date]&lt;=Tracking[[#This Row],[Date]]), (Tracking[Type]&lt;&gt;"Income")*(-1)+(Tracking[Type]="Income"))</f>
        <v>18704.22</v>
      </c>
      <c r="I29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46076</v>
      </c>
    </row>
    <row r="299" spans="3:9" x14ac:dyDescent="0.35">
      <c r="C299" s="27">
        <v>46079</v>
      </c>
      <c r="D299" s="26" t="s">
        <v>15</v>
      </c>
      <c r="E299" s="26" t="s">
        <v>16</v>
      </c>
      <c r="F299" s="99">
        <v>890.83</v>
      </c>
      <c r="G299" s="28" t="s">
        <v>107</v>
      </c>
      <c r="H299" s="102" cm="1">
        <f t="array" ref="H299">SUMPRODUCT(Tracking[Amount], --(Tracking[Date]&lt;=Tracking[[#This Row],[Date]]), (Tracking[Type]&lt;&gt;"Income")*(-1)+(Tracking[Type]="Income"))</f>
        <v>17813.39</v>
      </c>
      <c r="I29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46079</v>
      </c>
    </row>
    <row r="300" spans="3:9" x14ac:dyDescent="0.35">
      <c r="C300" s="27">
        <v>46081</v>
      </c>
      <c r="D300" s="26" t="s">
        <v>4</v>
      </c>
      <c r="E300" s="26" t="s">
        <v>9</v>
      </c>
      <c r="F300" s="99">
        <v>129.44</v>
      </c>
      <c r="G300" s="28" t="s">
        <v>107</v>
      </c>
      <c r="H300" s="102" cm="1">
        <f t="array" ref="H300">SUMPRODUCT(Tracking[Amount], --(Tracking[Date]&lt;=Tracking[[#This Row],[Date]]), (Tracking[Type]&lt;&gt;"Income")*(-1)+(Tracking[Type]="Income"))</f>
        <v>17866.879999999997</v>
      </c>
      <c r="I30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46082</v>
      </c>
    </row>
    <row r="301" spans="3:9" x14ac:dyDescent="0.35">
      <c r="C301" s="27">
        <v>46081</v>
      </c>
      <c r="D301" s="26" t="s">
        <v>11</v>
      </c>
      <c r="E301" s="26" t="s">
        <v>104</v>
      </c>
      <c r="F301" s="99">
        <v>75.95</v>
      </c>
      <c r="G301" s="28" t="s">
        <v>107</v>
      </c>
      <c r="H301" s="102" cm="1">
        <f t="array" ref="H301">SUMPRODUCT(Tracking[Amount], --(Tracking[Date]&lt;=Tracking[[#This Row],[Date]]), (Tracking[Type]&lt;&gt;"Income")*(-1)+(Tracking[Type]="Income"))</f>
        <v>17866.879999999997</v>
      </c>
      <c r="I30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46081</v>
      </c>
    </row>
    <row r="302" spans="3:9" x14ac:dyDescent="0.35">
      <c r="C302" s="27">
        <v>46082</v>
      </c>
      <c r="D302" s="26" t="s">
        <v>15</v>
      </c>
      <c r="E302" s="26" t="s">
        <v>10</v>
      </c>
      <c r="F302" s="99">
        <v>97.46</v>
      </c>
      <c r="G302" s="28" t="s">
        <v>107</v>
      </c>
      <c r="H302" s="102" cm="1">
        <f t="array" ref="H302">SUMPRODUCT(Tracking[Amount], --(Tracking[Date]&lt;=Tracking[[#This Row],[Date]]), (Tracking[Type]&lt;&gt;"Income")*(-1)+(Tracking[Type]="Income"))</f>
        <v>17553.849999999999</v>
      </c>
      <c r="I30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46082</v>
      </c>
    </row>
    <row r="303" spans="3:9" x14ac:dyDescent="0.35">
      <c r="C303" s="27">
        <v>46082</v>
      </c>
      <c r="D303" s="26" t="s">
        <v>11</v>
      </c>
      <c r="E303" s="26" t="s">
        <v>104</v>
      </c>
      <c r="F303" s="99">
        <v>215.57</v>
      </c>
      <c r="G303" s="28" t="s">
        <v>107</v>
      </c>
      <c r="H303" s="102" cm="1">
        <f t="array" ref="H303">SUMPRODUCT(Tracking[Amount], --(Tracking[Date]&lt;=Tracking[[#This Row],[Date]]), (Tracking[Type]&lt;&gt;"Income")*(-1)+(Tracking[Type]="Income"))</f>
        <v>17553.849999999999</v>
      </c>
      <c r="I30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46082</v>
      </c>
    </row>
    <row r="304" spans="3:9" x14ac:dyDescent="0.35">
      <c r="C304" s="27">
        <v>46084</v>
      </c>
      <c r="D304" s="26" t="s">
        <v>11</v>
      </c>
      <c r="E304" s="26" t="s">
        <v>10</v>
      </c>
      <c r="F304" s="99">
        <v>95.95</v>
      </c>
      <c r="G304" s="28" t="s">
        <v>107</v>
      </c>
      <c r="H304" s="102" cm="1">
        <f t="array" ref="H304">SUMPRODUCT(Tracking[Amount], --(Tracking[Date]&lt;=Tracking[[#This Row],[Date]]), (Tracking[Type]&lt;&gt;"Income")*(-1)+(Tracking[Type]="Income"))</f>
        <v>17423.469999999998</v>
      </c>
      <c r="I30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46084</v>
      </c>
    </row>
    <row r="305" spans="3:9" x14ac:dyDescent="0.35">
      <c r="C305" s="27">
        <v>46084</v>
      </c>
      <c r="D305" s="26" t="s">
        <v>11</v>
      </c>
      <c r="E305" s="26" t="s">
        <v>104</v>
      </c>
      <c r="F305" s="99">
        <v>34.43</v>
      </c>
      <c r="G305" s="28" t="s">
        <v>107</v>
      </c>
      <c r="H305" s="102" cm="1">
        <f t="array" ref="H305">SUMPRODUCT(Tracking[Amount], --(Tracking[Date]&lt;=Tracking[[#This Row],[Date]]), (Tracking[Type]&lt;&gt;"Income")*(-1)+(Tracking[Type]="Income"))</f>
        <v>17423.469999999998</v>
      </c>
      <c r="I30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46084</v>
      </c>
    </row>
    <row r="306" spans="3:9" x14ac:dyDescent="0.35">
      <c r="C306" s="27">
        <v>46085</v>
      </c>
      <c r="D306" s="26" t="s">
        <v>4</v>
      </c>
      <c r="E306" s="26" t="s">
        <v>10</v>
      </c>
      <c r="F306" s="99">
        <v>77.02</v>
      </c>
      <c r="G306" s="28" t="s">
        <v>107</v>
      </c>
      <c r="H306" s="102" cm="1">
        <f t="array" ref="H306">SUMPRODUCT(Tracking[Amount], --(Tracking[Date]&lt;=Tracking[[#This Row],[Date]]), (Tracking[Type]&lt;&gt;"Income")*(-1)+(Tracking[Type]="Income"))</f>
        <v>17500.489999999998</v>
      </c>
      <c r="I30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46085</v>
      </c>
    </row>
    <row r="307" spans="3:9" x14ac:dyDescent="0.35">
      <c r="C307" s="27">
        <v>46086</v>
      </c>
      <c r="D307" s="26" t="s">
        <v>15</v>
      </c>
      <c r="E307" s="26" t="s">
        <v>10</v>
      </c>
      <c r="F307" s="99">
        <v>102.54</v>
      </c>
      <c r="G307" s="28" t="s">
        <v>107</v>
      </c>
      <c r="H307" s="102" cm="1">
        <f t="array" ref="H307">SUMPRODUCT(Tracking[Amount], --(Tracking[Date]&lt;=Tracking[[#This Row],[Date]]), (Tracking[Type]&lt;&gt;"Income")*(-1)+(Tracking[Type]="Income"))</f>
        <v>17397.949999999997</v>
      </c>
      <c r="I30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46086</v>
      </c>
    </row>
    <row r="308" spans="3:9" x14ac:dyDescent="0.35">
      <c r="C308" s="27">
        <v>46088</v>
      </c>
      <c r="D308" s="26" t="s">
        <v>11</v>
      </c>
      <c r="E308" s="26" t="s">
        <v>103</v>
      </c>
      <c r="F308" s="99">
        <v>700</v>
      </c>
      <c r="G308" s="28" t="s">
        <v>107</v>
      </c>
      <c r="H308" s="102" cm="1">
        <f t="array" ref="H308">SUMPRODUCT(Tracking[Amount], --(Tracking[Date]&lt;=Tracking[[#This Row],[Date]]), (Tracking[Type]&lt;&gt;"Income")*(-1)+(Tracking[Type]="Income"))</f>
        <v>16697.949999999997</v>
      </c>
      <c r="I30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46088</v>
      </c>
    </row>
    <row r="309" spans="3:9" x14ac:dyDescent="0.35">
      <c r="C309" s="27">
        <v>46093</v>
      </c>
      <c r="D309" s="26" t="s">
        <v>11</v>
      </c>
      <c r="E309" s="26" t="s">
        <v>13</v>
      </c>
      <c r="F309" s="99">
        <v>734.81</v>
      </c>
      <c r="G309" s="28" t="s">
        <v>107</v>
      </c>
      <c r="H309" s="102" cm="1">
        <f t="array" ref="H309">SUMPRODUCT(Tracking[Amount], --(Tracking[Date]&lt;=Tracking[[#This Row],[Date]]), (Tracking[Type]&lt;&gt;"Income")*(-1)+(Tracking[Type]="Income"))</f>
        <v>15963.139999999998</v>
      </c>
      <c r="I30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46093</v>
      </c>
    </row>
    <row r="310" spans="3:9" x14ac:dyDescent="0.35">
      <c r="C310" s="27">
        <v>46095</v>
      </c>
      <c r="D310" s="26" t="s">
        <v>11</v>
      </c>
      <c r="E310" s="26" t="s">
        <v>12</v>
      </c>
      <c r="F310" s="99">
        <v>1373.27</v>
      </c>
      <c r="G310" s="28" t="s">
        <v>107</v>
      </c>
      <c r="H310" s="102" cm="1">
        <f t="array" ref="H310">SUMPRODUCT(Tracking[Amount], --(Tracking[Date]&lt;=Tracking[[#This Row],[Date]]), (Tracking[Type]&lt;&gt;"Income")*(-1)+(Tracking[Type]="Income"))</f>
        <v>20458.28</v>
      </c>
      <c r="I31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46095</v>
      </c>
    </row>
    <row r="311" spans="3:9" x14ac:dyDescent="0.35">
      <c r="C311" s="27">
        <v>46095</v>
      </c>
      <c r="D311" s="26" t="s">
        <v>4</v>
      </c>
      <c r="E311" s="26" t="s">
        <v>7</v>
      </c>
      <c r="F311" s="99">
        <v>5868.41</v>
      </c>
      <c r="G311" s="28" t="s">
        <v>107</v>
      </c>
      <c r="H311" s="102" cm="1">
        <f t="array" ref="H311">SUMPRODUCT(Tracking[Amount], --(Tracking[Date]&lt;=Tracking[[#This Row],[Date]]), (Tracking[Type]&lt;&gt;"Income")*(-1)+(Tracking[Type]="Income"))</f>
        <v>20458.28</v>
      </c>
      <c r="I31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46095</v>
      </c>
    </row>
    <row r="312" spans="3:9" x14ac:dyDescent="0.35">
      <c r="C312" s="27">
        <v>46096</v>
      </c>
      <c r="D312" s="26" t="s">
        <v>4</v>
      </c>
      <c r="E312" s="26" t="s">
        <v>10</v>
      </c>
      <c r="F312" s="99">
        <v>222.98</v>
      </c>
      <c r="G312" s="28" t="s">
        <v>107</v>
      </c>
      <c r="H312" s="102" cm="1">
        <f t="array" ref="H312">SUMPRODUCT(Tracking[Amount], --(Tracking[Date]&lt;=Tracking[[#This Row],[Date]]), (Tracking[Type]&lt;&gt;"Income")*(-1)+(Tracking[Type]="Income"))</f>
        <v>20681.259999999998</v>
      </c>
      <c r="I31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46096</v>
      </c>
    </row>
    <row r="313" spans="3:9" x14ac:dyDescent="0.35">
      <c r="C313" s="27">
        <v>46097</v>
      </c>
      <c r="D313" s="26" t="s">
        <v>11</v>
      </c>
      <c r="E313" s="26" t="s">
        <v>13</v>
      </c>
      <c r="F313" s="99">
        <v>1065.19</v>
      </c>
      <c r="G313" s="28" t="s">
        <v>107</v>
      </c>
      <c r="H313" s="102" cm="1">
        <f t="array" ref="H313">SUMPRODUCT(Tracking[Amount], --(Tracking[Date]&lt;=Tracking[[#This Row],[Date]]), (Tracking[Type]&lt;&gt;"Income")*(-1)+(Tracking[Type]="Income"))</f>
        <v>19616.07</v>
      </c>
      <c r="I31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46097</v>
      </c>
    </row>
    <row r="314" spans="3:9" x14ac:dyDescent="0.35">
      <c r="C314" s="27">
        <v>46101</v>
      </c>
      <c r="D314" s="26" t="s">
        <v>11</v>
      </c>
      <c r="E314" s="26" t="s">
        <v>10</v>
      </c>
      <c r="F314" s="99">
        <v>154.05000000000001</v>
      </c>
      <c r="G314" s="28" t="s">
        <v>107</v>
      </c>
      <c r="H314" s="102" cm="1">
        <f t="array" ref="H314">SUMPRODUCT(Tracking[Amount], --(Tracking[Date]&lt;=Tracking[[#This Row],[Date]]), (Tracking[Type]&lt;&gt;"Income")*(-1)+(Tracking[Type]="Income"))</f>
        <v>17962.02</v>
      </c>
      <c r="I31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46101</v>
      </c>
    </row>
    <row r="315" spans="3:9" x14ac:dyDescent="0.35">
      <c r="C315" s="27">
        <v>46101</v>
      </c>
      <c r="D315" s="26" t="s">
        <v>15</v>
      </c>
      <c r="E315" s="26" t="s">
        <v>17</v>
      </c>
      <c r="F315" s="99">
        <v>1500</v>
      </c>
      <c r="G315" s="28" t="s">
        <v>107</v>
      </c>
      <c r="H315" s="102" cm="1">
        <f t="array" ref="H315">SUMPRODUCT(Tracking[Amount], --(Tracking[Date]&lt;=Tracking[[#This Row],[Date]]), (Tracking[Type]&lt;&gt;"Income")*(-1)+(Tracking[Type]="Income"))</f>
        <v>17962.02</v>
      </c>
      <c r="I31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46101</v>
      </c>
    </row>
    <row r="316" spans="3:9" x14ac:dyDescent="0.35">
      <c r="C316" s="27">
        <v>46106</v>
      </c>
      <c r="D316" s="26" t="s">
        <v>15</v>
      </c>
      <c r="E316" s="26" t="s">
        <v>18</v>
      </c>
      <c r="F316" s="99">
        <v>900</v>
      </c>
      <c r="G316" s="28" t="s">
        <v>107</v>
      </c>
      <c r="H316" s="102" cm="1">
        <f t="array" ref="H316">SUMPRODUCT(Tracking[Amount], --(Tracking[Date]&lt;=Tracking[[#This Row],[Date]]), (Tracking[Type]&lt;&gt;"Income")*(-1)+(Tracking[Type]="Income"))</f>
        <v>17062.02</v>
      </c>
      <c r="I31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46106</v>
      </c>
    </row>
    <row r="317" spans="3:9" x14ac:dyDescent="0.35">
      <c r="C317" s="27">
        <v>46107</v>
      </c>
      <c r="D317" s="26" t="s">
        <v>4</v>
      </c>
      <c r="E317" s="26" t="s">
        <v>7</v>
      </c>
      <c r="F317" s="99">
        <v>3631.59</v>
      </c>
      <c r="G317" s="28" t="s">
        <v>107</v>
      </c>
      <c r="H317" s="102" cm="1">
        <f t="array" ref="H317">SUMPRODUCT(Tracking[Amount], --(Tracking[Date]&lt;=Tracking[[#This Row],[Date]]), (Tracking[Type]&lt;&gt;"Income")*(-1)+(Tracking[Type]="Income"))</f>
        <v>20693.61</v>
      </c>
      <c r="I31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46113</v>
      </c>
    </row>
    <row r="318" spans="3:9" x14ac:dyDescent="0.35">
      <c r="C318" s="27">
        <v>46108</v>
      </c>
      <c r="D318" s="26" t="s">
        <v>4</v>
      </c>
      <c r="E318" s="26" t="s">
        <v>8</v>
      </c>
      <c r="F318" s="99">
        <v>2600</v>
      </c>
      <c r="G318" s="28" t="s">
        <v>107</v>
      </c>
      <c r="H318" s="102" cm="1">
        <f t="array" ref="H318">SUMPRODUCT(Tracking[Amount], --(Tracking[Date]&lt;=Tracking[[#This Row],[Date]]), (Tracking[Type]&lt;&gt;"Income")*(-1)+(Tracking[Type]="Income"))</f>
        <v>20366.88</v>
      </c>
      <c r="I31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46113</v>
      </c>
    </row>
    <row r="319" spans="3:9" x14ac:dyDescent="0.35">
      <c r="C319" s="27">
        <v>46108</v>
      </c>
      <c r="D319" s="26" t="s">
        <v>11</v>
      </c>
      <c r="E319" s="26" t="s">
        <v>12</v>
      </c>
      <c r="F319" s="99">
        <v>2926.73</v>
      </c>
      <c r="G319" s="28" t="s">
        <v>107</v>
      </c>
      <c r="H319" s="102" cm="1">
        <f t="array" ref="H319">SUMPRODUCT(Tracking[Amount], --(Tracking[Date]&lt;=Tracking[[#This Row],[Date]]), (Tracking[Type]&lt;&gt;"Income")*(-1)+(Tracking[Type]="Income"))</f>
        <v>20366.88</v>
      </c>
      <c r="I31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46108</v>
      </c>
    </row>
    <row r="320" spans="3:9" x14ac:dyDescent="0.35">
      <c r="C320" s="27">
        <v>46113</v>
      </c>
      <c r="D320" s="26" t="s">
        <v>15</v>
      </c>
      <c r="E320" s="26" t="s">
        <v>16</v>
      </c>
      <c r="F320" s="99">
        <v>646.36</v>
      </c>
      <c r="G320" s="28" t="s">
        <v>107</v>
      </c>
      <c r="H320" s="102" cm="1">
        <f t="array" ref="H320">SUMPRODUCT(Tracking[Amount], --(Tracking[Date]&lt;=Tracking[[#This Row],[Date]]), (Tracking[Type]&lt;&gt;"Income")*(-1)+(Tracking[Type]="Income"))</f>
        <v>19720.52</v>
      </c>
      <c r="I32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46113</v>
      </c>
    </row>
    <row r="321" spans="3:9" x14ac:dyDescent="0.35">
      <c r="C321" s="27">
        <v>46116</v>
      </c>
      <c r="D321" s="26" t="s">
        <v>11</v>
      </c>
      <c r="E321" s="26" t="s">
        <v>104</v>
      </c>
      <c r="F321" s="99">
        <v>150</v>
      </c>
      <c r="G321" s="28" t="s">
        <v>107</v>
      </c>
      <c r="H321" s="102" cm="1">
        <f t="array" ref="H321">SUMPRODUCT(Tracking[Amount], --(Tracking[Date]&lt;=Tracking[[#This Row],[Date]]), (Tracking[Type]&lt;&gt;"Income")*(-1)+(Tracking[Type]="Income"))</f>
        <v>19570.52</v>
      </c>
      <c r="I32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46116</v>
      </c>
    </row>
    <row r="322" spans="3:9" x14ac:dyDescent="0.35">
      <c r="C322" s="27">
        <v>46117</v>
      </c>
      <c r="D322" s="26" t="s">
        <v>11</v>
      </c>
      <c r="E322" s="26" t="s">
        <v>12</v>
      </c>
      <c r="F322" s="99">
        <v>493.38</v>
      </c>
      <c r="G322" s="28" t="s">
        <v>107</v>
      </c>
      <c r="H322" s="102" cm="1">
        <f t="array" ref="H322">SUMPRODUCT(Tracking[Amount], --(Tracking[Date]&lt;=Tracking[[#This Row],[Date]]), (Tracking[Type]&lt;&gt;"Income")*(-1)+(Tracking[Type]="Income"))</f>
        <v>18031.329999999998</v>
      </c>
      <c r="I32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46117</v>
      </c>
    </row>
    <row r="323" spans="3:9" x14ac:dyDescent="0.35">
      <c r="C323" s="27">
        <v>46117</v>
      </c>
      <c r="D323" s="26" t="s">
        <v>11</v>
      </c>
      <c r="E323" s="26" t="s">
        <v>13</v>
      </c>
      <c r="F323" s="99">
        <v>1045.81</v>
      </c>
      <c r="G323" s="28" t="s">
        <v>107</v>
      </c>
      <c r="H323" s="102" cm="1">
        <f t="array" ref="H323">SUMPRODUCT(Tracking[Amount], --(Tracking[Date]&lt;=Tracking[[#This Row],[Date]]), (Tracking[Type]&lt;&gt;"Income")*(-1)+(Tracking[Type]="Income"))</f>
        <v>18031.329999999998</v>
      </c>
      <c r="I32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46117</v>
      </c>
    </row>
    <row r="324" spans="3:9" x14ac:dyDescent="0.35">
      <c r="C324" s="27">
        <v>46118</v>
      </c>
      <c r="D324" s="26" t="s">
        <v>15</v>
      </c>
      <c r="E324" s="26" t="s">
        <v>18</v>
      </c>
      <c r="F324" s="99">
        <v>526.35</v>
      </c>
      <c r="G324" s="28" t="s">
        <v>107</v>
      </c>
      <c r="H324" s="102" cm="1">
        <f t="array" ref="H324">SUMPRODUCT(Tracking[Amount], --(Tracking[Date]&lt;=Tracking[[#This Row],[Date]]), (Tracking[Type]&lt;&gt;"Income")*(-1)+(Tracking[Type]="Income"))</f>
        <v>17504.98</v>
      </c>
      <c r="I32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46118</v>
      </c>
    </row>
    <row r="325" spans="3:9" x14ac:dyDescent="0.35">
      <c r="C325" s="27">
        <v>46123</v>
      </c>
      <c r="D325" s="26" t="s">
        <v>15</v>
      </c>
      <c r="E325" s="26" t="s">
        <v>17</v>
      </c>
      <c r="F325" s="99">
        <v>778.61</v>
      </c>
      <c r="G325" s="28" t="s">
        <v>107</v>
      </c>
      <c r="H325" s="102" cm="1">
        <f t="array" ref="H325">SUMPRODUCT(Tracking[Amount], --(Tracking[Date]&lt;=Tracking[[#This Row],[Date]]), (Tracking[Type]&lt;&gt;"Income")*(-1)+(Tracking[Type]="Income"))</f>
        <v>16726.37</v>
      </c>
      <c r="I32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46123</v>
      </c>
    </row>
    <row r="326" spans="3:9" x14ac:dyDescent="0.35">
      <c r="C326" s="27">
        <v>46124</v>
      </c>
      <c r="D326" s="26" t="s">
        <v>11</v>
      </c>
      <c r="E326" s="26" t="s">
        <v>10</v>
      </c>
      <c r="F326" s="99">
        <v>189.06</v>
      </c>
      <c r="G326" s="28" t="s">
        <v>107</v>
      </c>
      <c r="H326" s="102" cm="1">
        <f t="array" ref="H326">SUMPRODUCT(Tracking[Amount], --(Tracking[Date]&lt;=Tracking[[#This Row],[Date]]), (Tracking[Type]&lt;&gt;"Income")*(-1)+(Tracking[Type]="Income"))</f>
        <v>16537.309999999998</v>
      </c>
      <c r="I32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46124</v>
      </c>
    </row>
    <row r="327" spans="3:9" x14ac:dyDescent="0.35">
      <c r="C327" s="27">
        <v>46125</v>
      </c>
      <c r="D327" s="26" t="s">
        <v>11</v>
      </c>
      <c r="E327" s="26" t="s">
        <v>103</v>
      </c>
      <c r="F327" s="99">
        <v>550</v>
      </c>
      <c r="G327" s="28" t="s">
        <v>107</v>
      </c>
      <c r="H327" s="102" cm="1">
        <f t="array" ref="H327">SUMPRODUCT(Tracking[Amount], --(Tracking[Date]&lt;=Tracking[[#This Row],[Date]]), (Tracking[Type]&lt;&gt;"Income")*(-1)+(Tracking[Type]="Income"))</f>
        <v>15987.309999999998</v>
      </c>
      <c r="I32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46125</v>
      </c>
    </row>
    <row r="328" spans="3:9" x14ac:dyDescent="0.35">
      <c r="C328" s="27">
        <v>46128</v>
      </c>
      <c r="D328" s="26" t="s">
        <v>4</v>
      </c>
      <c r="E328" s="26" t="s">
        <v>7</v>
      </c>
      <c r="F328" s="99">
        <v>4403.78</v>
      </c>
      <c r="G328" s="28" t="s">
        <v>107</v>
      </c>
      <c r="H328" s="102" cm="1">
        <f t="array" ref="H328">SUMPRODUCT(Tracking[Amount], --(Tracking[Date]&lt;=Tracking[[#This Row],[Date]]), (Tracking[Type]&lt;&gt;"Income")*(-1)+(Tracking[Type]="Income"))</f>
        <v>20841.089999999997</v>
      </c>
      <c r="I32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46128</v>
      </c>
    </row>
    <row r="329" spans="3:9" x14ac:dyDescent="0.35">
      <c r="C329" s="27">
        <v>46128</v>
      </c>
      <c r="D329" s="26" t="s">
        <v>4</v>
      </c>
      <c r="E329" s="26" t="s">
        <v>9</v>
      </c>
      <c r="F329" s="99">
        <v>450</v>
      </c>
      <c r="G329" s="28" t="s">
        <v>107</v>
      </c>
      <c r="H329" s="102" cm="1">
        <f t="array" ref="H329">SUMPRODUCT(Tracking[Amount], --(Tracking[Date]&lt;=Tracking[[#This Row],[Date]]), (Tracking[Type]&lt;&gt;"Income")*(-1)+(Tracking[Type]="Income"))</f>
        <v>20841.089999999997</v>
      </c>
      <c r="I32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46128</v>
      </c>
    </row>
    <row r="330" spans="3:9" x14ac:dyDescent="0.35">
      <c r="C330" s="27">
        <v>46129</v>
      </c>
      <c r="D330" s="26" t="s">
        <v>11</v>
      </c>
      <c r="E330" s="26" t="s">
        <v>13</v>
      </c>
      <c r="F330" s="99">
        <v>804.19</v>
      </c>
      <c r="G330" s="28" t="s">
        <v>107</v>
      </c>
      <c r="H330" s="102" cm="1">
        <f t="array" ref="H330">SUMPRODUCT(Tracking[Amount], --(Tracking[Date]&lt;=Tracking[[#This Row],[Date]]), (Tracking[Type]&lt;&gt;"Income")*(-1)+(Tracking[Type]="Income"))</f>
        <v>19383.259999999998</v>
      </c>
      <c r="I33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46129</v>
      </c>
    </row>
    <row r="331" spans="3:9" x14ac:dyDescent="0.35">
      <c r="C331" s="27">
        <v>46129</v>
      </c>
      <c r="D331" s="26" t="s">
        <v>15</v>
      </c>
      <c r="E331" s="26" t="s">
        <v>16</v>
      </c>
      <c r="F331" s="99">
        <v>653.64</v>
      </c>
      <c r="G331" s="28" t="s">
        <v>107</v>
      </c>
      <c r="H331" s="102" cm="1">
        <f t="array" ref="H331">SUMPRODUCT(Tracking[Amount], --(Tracking[Date]&lt;=Tracking[[#This Row],[Date]]), (Tracking[Type]&lt;&gt;"Income")*(-1)+(Tracking[Type]="Income"))</f>
        <v>19383.259999999998</v>
      </c>
      <c r="I33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46129</v>
      </c>
    </row>
    <row r="332" spans="3:9" x14ac:dyDescent="0.35">
      <c r="C332" s="27">
        <v>46130</v>
      </c>
      <c r="D332" s="26" t="s">
        <v>4</v>
      </c>
      <c r="E332" s="26" t="s">
        <v>8</v>
      </c>
      <c r="F332" s="99">
        <v>2500</v>
      </c>
      <c r="G332" s="28" t="s">
        <v>107</v>
      </c>
      <c r="H332" s="102" cm="1">
        <f t="array" ref="H332">SUMPRODUCT(Tracking[Amount], --(Tracking[Date]&lt;=Tracking[[#This Row],[Date]]), (Tracking[Type]&lt;&gt;"Income")*(-1)+(Tracking[Type]="Income"))</f>
        <v>21883.26</v>
      </c>
      <c r="I33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46130</v>
      </c>
    </row>
    <row r="333" spans="3:9" x14ac:dyDescent="0.35">
      <c r="C333" s="27">
        <v>46131</v>
      </c>
      <c r="D333" s="26" t="s">
        <v>15</v>
      </c>
      <c r="E333" s="26" t="s">
        <v>10</v>
      </c>
      <c r="F333" s="99">
        <v>150</v>
      </c>
      <c r="G333" s="28" t="s">
        <v>107</v>
      </c>
      <c r="H333" s="102" cm="1">
        <f t="array" ref="H333">SUMPRODUCT(Tracking[Amount], --(Tracking[Date]&lt;=Tracking[[#This Row],[Date]]), (Tracking[Type]&lt;&gt;"Income")*(-1)+(Tracking[Type]="Income"))</f>
        <v>21733.26</v>
      </c>
      <c r="I33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46131</v>
      </c>
    </row>
    <row r="334" spans="3:9" x14ac:dyDescent="0.35">
      <c r="C334" s="27">
        <v>46132</v>
      </c>
      <c r="D334" s="26" t="s">
        <v>4</v>
      </c>
      <c r="E334" s="26" t="s">
        <v>10</v>
      </c>
      <c r="F334" s="99">
        <v>100</v>
      </c>
      <c r="G334" s="28" t="s">
        <v>107</v>
      </c>
      <c r="H334" s="102" cm="1">
        <f t="array" ref="H334">SUMPRODUCT(Tracking[Amount], --(Tracking[Date]&lt;=Tracking[[#This Row],[Date]]), (Tracking[Type]&lt;&gt;"Income")*(-1)+(Tracking[Type]="Income"))</f>
        <v>21833.26</v>
      </c>
      <c r="I33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46143</v>
      </c>
    </row>
    <row r="335" spans="3:9" x14ac:dyDescent="0.35">
      <c r="C335" s="27">
        <v>46133</v>
      </c>
      <c r="D335" s="26" t="s">
        <v>11</v>
      </c>
      <c r="E335" s="26" t="s">
        <v>10</v>
      </c>
      <c r="F335" s="99">
        <v>10.94</v>
      </c>
      <c r="G335" s="28" t="s">
        <v>107</v>
      </c>
      <c r="H335" s="102" cm="1">
        <f t="array" ref="H335">SUMPRODUCT(Tracking[Amount], --(Tracking[Date]&lt;=Tracking[[#This Row],[Date]]), (Tracking[Type]&lt;&gt;"Income")*(-1)+(Tracking[Type]="Income"))</f>
        <v>21822.32</v>
      </c>
      <c r="I33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46133</v>
      </c>
    </row>
    <row r="336" spans="3:9" x14ac:dyDescent="0.35">
      <c r="C336" s="27">
        <v>46138</v>
      </c>
      <c r="D336" s="26" t="s">
        <v>15</v>
      </c>
      <c r="E336" s="26" t="s">
        <v>18</v>
      </c>
      <c r="F336" s="99">
        <v>873.65</v>
      </c>
      <c r="G336" s="28" t="s">
        <v>107</v>
      </c>
      <c r="H336" s="102" cm="1">
        <f t="array" ref="H336">SUMPRODUCT(Tracking[Amount], --(Tracking[Date]&lt;=Tracking[[#This Row],[Date]]), (Tracking[Type]&lt;&gt;"Income")*(-1)+(Tracking[Type]="Income"))</f>
        <v>17042.05</v>
      </c>
      <c r="I33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46138</v>
      </c>
    </row>
    <row r="337" spans="3:9" x14ac:dyDescent="0.35">
      <c r="C337" s="27">
        <v>46138</v>
      </c>
      <c r="D337" s="26" t="s">
        <v>11</v>
      </c>
      <c r="E337" s="26" t="s">
        <v>12</v>
      </c>
      <c r="F337" s="99">
        <v>3906.62</v>
      </c>
      <c r="G337" s="28" t="s">
        <v>107</v>
      </c>
      <c r="H337" s="102" cm="1">
        <f t="array" ref="H337">SUMPRODUCT(Tracking[Amount], --(Tracking[Date]&lt;=Tracking[[#This Row],[Date]]), (Tracking[Type]&lt;&gt;"Income")*(-1)+(Tracking[Type]="Income"))</f>
        <v>17042.05</v>
      </c>
      <c r="I33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46138</v>
      </c>
    </row>
    <row r="338" spans="3:9" x14ac:dyDescent="0.35">
      <c r="C338" s="27">
        <v>46140</v>
      </c>
      <c r="D338" s="26" t="s">
        <v>4</v>
      </c>
      <c r="E338" s="26" t="s">
        <v>7</v>
      </c>
      <c r="F338" s="99">
        <v>5096.22</v>
      </c>
      <c r="G338" s="28" t="s">
        <v>107</v>
      </c>
      <c r="H338" s="102" cm="1">
        <f t="array" ref="H338">SUMPRODUCT(Tracking[Amount], --(Tracking[Date]&lt;=Tracking[[#This Row],[Date]]), (Tracking[Type]&lt;&gt;"Income")*(-1)+(Tracking[Type]="Income"))</f>
        <v>22138.27</v>
      </c>
      <c r="I33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46143</v>
      </c>
    </row>
    <row r="339" spans="3:9" x14ac:dyDescent="0.35">
      <c r="C339" s="27">
        <v>46144</v>
      </c>
      <c r="D339" s="26" t="s">
        <v>4</v>
      </c>
      <c r="E339" s="26" t="s">
        <v>9</v>
      </c>
      <c r="F339" s="99">
        <v>569.92999999999995</v>
      </c>
      <c r="G339" s="28" t="s">
        <v>107</v>
      </c>
      <c r="H339" s="102" cm="1">
        <f t="array" ref="H339">SUMPRODUCT(Tracking[Amount], --(Tracking[Date]&lt;=Tracking[[#This Row],[Date]]), (Tracking[Type]&lt;&gt;"Income")*(-1)+(Tracking[Type]="Income"))</f>
        <v>22708.2</v>
      </c>
      <c r="I33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46144</v>
      </c>
    </row>
    <row r="340" spans="3:9" x14ac:dyDescent="0.35">
      <c r="C340" s="27">
        <v>46145</v>
      </c>
      <c r="D340" s="26" t="s">
        <v>11</v>
      </c>
      <c r="E340" s="26" t="s">
        <v>10</v>
      </c>
      <c r="F340" s="99">
        <v>152.01</v>
      </c>
      <c r="G340" s="28" t="s">
        <v>107</v>
      </c>
      <c r="H340" s="102" cm="1">
        <f t="array" ref="H340">SUMPRODUCT(Tracking[Amount], --(Tracking[Date]&lt;=Tracking[[#This Row],[Date]]), (Tracking[Type]&lt;&gt;"Income")*(-1)+(Tracking[Type]="Income"))</f>
        <v>23500.090000000004</v>
      </c>
      <c r="I34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46145</v>
      </c>
    </row>
    <row r="341" spans="3:9" x14ac:dyDescent="0.35">
      <c r="C341" s="27">
        <v>46145</v>
      </c>
      <c r="D341" s="26" t="s">
        <v>4</v>
      </c>
      <c r="E341" s="26" t="s">
        <v>8</v>
      </c>
      <c r="F341" s="99">
        <v>943.9</v>
      </c>
      <c r="G341" s="28" t="s">
        <v>107</v>
      </c>
      <c r="H341" s="102" cm="1">
        <f t="array" ref="H341">SUMPRODUCT(Tracking[Amount], --(Tracking[Date]&lt;=Tracking[[#This Row],[Date]]), (Tracking[Type]&lt;&gt;"Income")*(-1)+(Tracking[Type]="Income"))</f>
        <v>23500.090000000004</v>
      </c>
      <c r="I34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46145</v>
      </c>
    </row>
    <row r="342" spans="3:9" x14ac:dyDescent="0.35">
      <c r="C342" s="27">
        <v>46147</v>
      </c>
      <c r="D342" s="26" t="s">
        <v>11</v>
      </c>
      <c r="E342" s="26" t="s">
        <v>13</v>
      </c>
      <c r="F342" s="99">
        <v>1900</v>
      </c>
      <c r="G342" s="28" t="s">
        <v>107</v>
      </c>
      <c r="H342" s="102" cm="1">
        <f t="array" ref="H342">SUMPRODUCT(Tracking[Amount], --(Tracking[Date]&lt;=Tracking[[#This Row],[Date]]), (Tracking[Type]&lt;&gt;"Income")*(-1)+(Tracking[Type]="Income"))</f>
        <v>21600.090000000004</v>
      </c>
      <c r="I34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46147</v>
      </c>
    </row>
    <row r="343" spans="3:9" x14ac:dyDescent="0.35">
      <c r="C343" s="27">
        <v>46148</v>
      </c>
      <c r="D343" s="26" t="s">
        <v>4</v>
      </c>
      <c r="E343" s="26" t="s">
        <v>9</v>
      </c>
      <c r="F343" s="99">
        <v>30.07</v>
      </c>
      <c r="G343" s="28" t="s">
        <v>107</v>
      </c>
      <c r="H343" s="102" cm="1">
        <f t="array" ref="H343">SUMPRODUCT(Tracking[Amount], --(Tracking[Date]&lt;=Tracking[[#This Row],[Date]]), (Tracking[Type]&lt;&gt;"Income")*(-1)+(Tracking[Type]="Income"))</f>
        <v>21430.160000000003</v>
      </c>
      <c r="I34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46148</v>
      </c>
    </row>
    <row r="344" spans="3:9" x14ac:dyDescent="0.35">
      <c r="C344" s="27">
        <v>46148</v>
      </c>
      <c r="D344" s="26" t="s">
        <v>11</v>
      </c>
      <c r="E344" s="26" t="s">
        <v>104</v>
      </c>
      <c r="F344" s="99">
        <v>200</v>
      </c>
      <c r="G344" s="28" t="s">
        <v>107</v>
      </c>
      <c r="H344" s="102" cm="1">
        <f t="array" ref="H344">SUMPRODUCT(Tracking[Amount], --(Tracking[Date]&lt;=Tracking[[#This Row],[Date]]), (Tracking[Type]&lt;&gt;"Income")*(-1)+(Tracking[Type]="Income"))</f>
        <v>21430.160000000003</v>
      </c>
      <c r="I34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46148</v>
      </c>
    </row>
    <row r="345" spans="3:9" x14ac:dyDescent="0.35">
      <c r="C345" s="27">
        <v>46151</v>
      </c>
      <c r="D345" s="26" t="s">
        <v>15</v>
      </c>
      <c r="E345" s="26" t="s">
        <v>18</v>
      </c>
      <c r="F345" s="99">
        <v>1390.37</v>
      </c>
      <c r="G345" s="28" t="s">
        <v>107</v>
      </c>
      <c r="H345" s="102" cm="1">
        <f t="array" ref="H345">SUMPRODUCT(Tracking[Amount], --(Tracking[Date]&lt;=Tracking[[#This Row],[Date]]), (Tracking[Type]&lt;&gt;"Income")*(-1)+(Tracking[Type]="Income"))</f>
        <v>20039.790000000005</v>
      </c>
      <c r="I34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46151</v>
      </c>
    </row>
    <row r="346" spans="3:9" x14ac:dyDescent="0.35">
      <c r="C346" s="27">
        <v>46155</v>
      </c>
      <c r="D346" s="26" t="s">
        <v>11</v>
      </c>
      <c r="E346" s="26" t="s">
        <v>106</v>
      </c>
      <c r="F346" s="99">
        <v>1600</v>
      </c>
      <c r="G346" s="28" t="s">
        <v>107</v>
      </c>
      <c r="H346" s="102" cm="1">
        <f t="array" ref="H346">SUMPRODUCT(Tracking[Amount], --(Tracking[Date]&lt;=Tracking[[#This Row],[Date]]), (Tracking[Type]&lt;&gt;"Income")*(-1)+(Tracking[Type]="Income"))</f>
        <v>18291.800000000003</v>
      </c>
      <c r="I34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46155</v>
      </c>
    </row>
    <row r="347" spans="3:9" x14ac:dyDescent="0.35">
      <c r="C347" s="27">
        <v>46155</v>
      </c>
      <c r="D347" s="26" t="s">
        <v>11</v>
      </c>
      <c r="E347" s="26" t="s">
        <v>10</v>
      </c>
      <c r="F347" s="99">
        <v>147.99</v>
      </c>
      <c r="G347" s="28" t="s">
        <v>107</v>
      </c>
      <c r="H347" s="102" cm="1">
        <f t="array" ref="H347">SUMPRODUCT(Tracking[Amount], --(Tracking[Date]&lt;=Tracking[[#This Row],[Date]]), (Tracking[Type]&lt;&gt;"Income")*(-1)+(Tracking[Type]="Income"))</f>
        <v>18291.800000000003</v>
      </c>
      <c r="I34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46155</v>
      </c>
    </row>
    <row r="348" spans="3:9" x14ac:dyDescent="0.35">
      <c r="C348" s="27">
        <v>46156</v>
      </c>
      <c r="D348" s="26" t="s">
        <v>4</v>
      </c>
      <c r="E348" s="26" t="s">
        <v>7</v>
      </c>
      <c r="F348" s="99">
        <v>9700</v>
      </c>
      <c r="G348" s="28" t="s">
        <v>107</v>
      </c>
      <c r="H348" s="102" cm="1">
        <f t="array" ref="H348">SUMPRODUCT(Tracking[Amount], --(Tracking[Date]&lt;=Tracking[[#This Row],[Date]]), (Tracking[Type]&lt;&gt;"Income")*(-1)+(Tracking[Type]="Income"))</f>
        <v>27991.800000000003</v>
      </c>
      <c r="I348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46156</v>
      </c>
    </row>
    <row r="349" spans="3:9" x14ac:dyDescent="0.35">
      <c r="C349" s="27">
        <v>46157</v>
      </c>
      <c r="D349" s="26" t="s">
        <v>15</v>
      </c>
      <c r="E349" s="26" t="s">
        <v>16</v>
      </c>
      <c r="F349" s="99">
        <v>672.46</v>
      </c>
      <c r="G349" s="28" t="s">
        <v>107</v>
      </c>
      <c r="H349" s="102" cm="1">
        <f t="array" ref="H349">SUMPRODUCT(Tracking[Amount], --(Tracking[Date]&lt;=Tracking[[#This Row],[Date]]), (Tracking[Type]&lt;&gt;"Income")*(-1)+(Tracking[Type]="Income"))</f>
        <v>27569.340000000004</v>
      </c>
      <c r="I349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46157</v>
      </c>
    </row>
    <row r="350" spans="3:9" x14ac:dyDescent="0.35">
      <c r="C350" s="27">
        <v>46157</v>
      </c>
      <c r="D350" s="26" t="s">
        <v>4</v>
      </c>
      <c r="E350" s="26" t="s">
        <v>10</v>
      </c>
      <c r="F350" s="99">
        <v>250</v>
      </c>
      <c r="G350" s="28" t="s">
        <v>107</v>
      </c>
      <c r="H350" s="102" cm="1">
        <f t="array" ref="H350">SUMPRODUCT(Tracking[Amount], --(Tracking[Date]&lt;=Tracking[[#This Row],[Date]]), (Tracking[Type]&lt;&gt;"Income")*(-1)+(Tracking[Type]="Income"))</f>
        <v>27569.340000000004</v>
      </c>
      <c r="I350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46157</v>
      </c>
    </row>
    <row r="351" spans="3:9" x14ac:dyDescent="0.35">
      <c r="C351" s="27">
        <v>46158</v>
      </c>
      <c r="D351" s="26" t="s">
        <v>15</v>
      </c>
      <c r="E351" s="26" t="s">
        <v>17</v>
      </c>
      <c r="F351" s="99">
        <v>571.29999999999995</v>
      </c>
      <c r="G351" s="28" t="s">
        <v>107</v>
      </c>
      <c r="H351" s="102" cm="1">
        <f t="array" ref="H351">SUMPRODUCT(Tracking[Amount], --(Tracking[Date]&lt;=Tracking[[#This Row],[Date]]), (Tracking[Type]&lt;&gt;"Income")*(-1)+(Tracking[Type]="Income"))</f>
        <v>21970.500000000004</v>
      </c>
      <c r="I351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46158</v>
      </c>
    </row>
    <row r="352" spans="3:9" x14ac:dyDescent="0.35">
      <c r="C352" s="27">
        <v>46158</v>
      </c>
      <c r="D352" s="26" t="s">
        <v>15</v>
      </c>
      <c r="E352" s="26" t="s">
        <v>16</v>
      </c>
      <c r="F352" s="99">
        <v>627.54</v>
      </c>
      <c r="G352" s="28" t="s">
        <v>107</v>
      </c>
      <c r="H352" s="102" cm="1">
        <f t="array" ref="H352">SUMPRODUCT(Tracking[Amount], --(Tracking[Date]&lt;=Tracking[[#This Row],[Date]]), (Tracking[Type]&lt;&gt;"Income")*(-1)+(Tracking[Type]="Income"))</f>
        <v>21970.500000000004</v>
      </c>
      <c r="I352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46158</v>
      </c>
    </row>
    <row r="353" spans="3:9" x14ac:dyDescent="0.35">
      <c r="C353" s="27">
        <v>46158</v>
      </c>
      <c r="D353" s="26" t="s">
        <v>11</v>
      </c>
      <c r="E353" s="26" t="s">
        <v>12</v>
      </c>
      <c r="F353" s="99">
        <v>4400</v>
      </c>
      <c r="G353" s="28" t="s">
        <v>107</v>
      </c>
      <c r="H353" s="102" cm="1">
        <f t="array" ref="H353">SUMPRODUCT(Tracking[Amount], --(Tracking[Date]&lt;=Tracking[[#This Row],[Date]]), (Tracking[Type]&lt;&gt;"Income")*(-1)+(Tracking[Type]="Income"))</f>
        <v>21970.500000000004</v>
      </c>
      <c r="I353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46158</v>
      </c>
    </row>
    <row r="354" spans="3:9" x14ac:dyDescent="0.35">
      <c r="C354" s="27">
        <v>46165</v>
      </c>
      <c r="D354" s="26" t="s">
        <v>4</v>
      </c>
      <c r="E354" s="26" t="s">
        <v>8</v>
      </c>
      <c r="F354" s="99">
        <v>1856.1</v>
      </c>
      <c r="G354" s="28" t="s">
        <v>107</v>
      </c>
      <c r="H354" s="102" cm="1">
        <f t="array" ref="H354">SUMPRODUCT(Tracking[Amount], --(Tracking[Date]&lt;=Tracking[[#This Row],[Date]]), (Tracking[Type]&lt;&gt;"Income")*(-1)+(Tracking[Type]="Income"))</f>
        <v>23826.600000000002</v>
      </c>
      <c r="I354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46174</v>
      </c>
    </row>
    <row r="355" spans="3:9" x14ac:dyDescent="0.35">
      <c r="C355" s="27">
        <v>46168</v>
      </c>
      <c r="D355" s="26" t="s">
        <v>11</v>
      </c>
      <c r="E355" s="26" t="s">
        <v>103</v>
      </c>
      <c r="F355" s="99">
        <v>600</v>
      </c>
      <c r="G355" s="28" t="s">
        <v>107</v>
      </c>
      <c r="H355" s="102" cm="1">
        <f t="array" ref="H355">SUMPRODUCT(Tracking[Amount], --(Tracking[Date]&lt;=Tracking[[#This Row],[Date]]), (Tracking[Type]&lt;&gt;"Income")*(-1)+(Tracking[Type]="Income"))</f>
        <v>23016.97</v>
      </c>
      <c r="I355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46168</v>
      </c>
    </row>
    <row r="356" spans="3:9" x14ac:dyDescent="0.35">
      <c r="C356" s="27">
        <v>46168</v>
      </c>
      <c r="D356" s="26" t="s">
        <v>15</v>
      </c>
      <c r="E356" s="26" t="s">
        <v>18</v>
      </c>
      <c r="F356" s="99">
        <v>209.63</v>
      </c>
      <c r="G356" s="28" t="s">
        <v>107</v>
      </c>
      <c r="H356" s="102" cm="1">
        <f t="array" ref="H356">SUMPRODUCT(Tracking[Amount], --(Tracking[Date]&lt;=Tracking[[#This Row],[Date]]), (Tracking[Type]&lt;&gt;"Income")*(-1)+(Tracking[Type]="Income"))</f>
        <v>23016.97</v>
      </c>
      <c r="I356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46168</v>
      </c>
    </row>
    <row r="357" spans="3:9" x14ac:dyDescent="0.35">
      <c r="C357" s="27">
        <v>46170</v>
      </c>
      <c r="D357" s="26" t="s">
        <v>15</v>
      </c>
      <c r="E357" s="26" t="s">
        <v>10</v>
      </c>
      <c r="F357" s="99">
        <v>250</v>
      </c>
      <c r="G357" s="28" t="s">
        <v>107</v>
      </c>
      <c r="H357" s="102" cm="1">
        <f t="array" ref="H357">SUMPRODUCT(Tracking[Amount], --(Tracking[Date]&lt;=Tracking[[#This Row],[Date]]), (Tracking[Type]&lt;&gt;"Income")*(-1)+(Tracking[Type]="Income"))</f>
        <v>22766.97</v>
      </c>
      <c r="I357" s="35">
        <f>IF(AND(Tracking[[#This Row],[Type]]="Income", Shift_late_income_status="Active",DAY(Tracking[[#This Row],[Date]])&gt;=Shift_late_starting_day),DATE(YEAR(Tracking[[#This Row],[Date]]),MONTH(Tracking[[#This Row],[Date]])+1,1),Tracking[[#This Row],[Date]])</f>
        <v>46170</v>
      </c>
    </row>
  </sheetData>
  <mergeCells count="1">
    <mergeCell ref="B1:E3"/>
  </mergeCells>
  <conditionalFormatting sqref="E12:E357">
    <cfRule type="expression" dxfId="34" priority="6">
      <formula>ISNA(MATCH(E12, INDIRECT(D12), 0))</formula>
    </cfRule>
  </conditionalFormatting>
  <conditionalFormatting sqref="F12:F357">
    <cfRule type="expression" dxfId="33" priority="1">
      <formula>E12="Loan"</formula>
    </cfRule>
    <cfRule type="expression" dxfId="32" priority="5">
      <formula>D12="income"</formula>
    </cfRule>
  </conditionalFormatting>
  <conditionalFormatting sqref="I12:I357">
    <cfRule type="expression" dxfId="31" priority="2">
      <formula>AND(D12="Income", Shift_late_income_status="Active",DAY(C12)&gt;=Shift_late_starting_day)</formula>
    </cfRule>
  </conditionalFormatting>
  <dataValidations count="4">
    <dataValidation type="date" operator="greaterThan" allowBlank="1" showInputMessage="1" showErrorMessage="1" errorTitle="Invalid Date" error="Please enter a date" sqref="C12:C357" xr:uid="{E13EC438-B8F1-45BD-8BC5-0DD1969EAD66}">
      <formula1>1</formula1>
    </dataValidation>
    <dataValidation type="list" allowBlank="1" showInputMessage="1" showErrorMessage="1" errorTitle="Invalid Type" error="Please select a valid type" sqref="D12:D357" xr:uid="{EC001C91-7747-4D77-B271-8A83B1F4CBBD}">
      <formula1>"Income, Expenses, Savings"</formula1>
    </dataValidation>
    <dataValidation type="list" allowBlank="1" showInputMessage="1" showErrorMessage="1" errorTitle="Invalid Category" error="select a valid category" sqref="E12:E357" xr:uid="{2296BA68-FEA5-425C-8157-3942210349B2}">
      <formula1>INDIRECT(D12)</formula1>
    </dataValidation>
    <dataValidation type="custom" allowBlank="1" showInputMessage="1" showErrorMessage="1" errorTitle="Invalid Amount" error="Not a number" sqref="F12:F357" xr:uid="{8B3EE13B-E365-46E3-8B76-9AEF890B3774}">
      <formula1>ISNUMBER(F12)</formula1>
    </dataValidation>
  </dataValidations>
  <pageMargins left="0.7" right="0.7" top="0.75" bottom="0.75" header="0.3" footer="0.3"/>
  <pageSetup paperSize="9" orientation="portrait" horizontalDpi="4294967292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9553-A308-47E2-BFB2-91D5FC1322CA}">
  <sheetPr>
    <tabColor theme="9" tint="0.39997558519241921"/>
  </sheetPr>
  <dimension ref="B1:AR52"/>
  <sheetViews>
    <sheetView showGridLines="0" tabSelected="1" zoomScale="111" zoomScaleNormal="145" workbookViewId="0">
      <selection activeCell="AG41" sqref="AG41"/>
    </sheetView>
  </sheetViews>
  <sheetFormatPr defaultRowHeight="14.5" x14ac:dyDescent="0.35"/>
  <cols>
    <col min="1" max="1" width="8.6328125" customWidth="1"/>
    <col min="2" max="2" width="2.36328125" customWidth="1"/>
    <col min="3" max="3" width="8.7265625" hidden="1" customWidth="1"/>
    <col min="4" max="4" width="9.26953125" hidden="1" customWidth="1"/>
    <col min="5" max="6" width="8.7265625" hidden="1" customWidth="1"/>
    <col min="7" max="7" width="5" hidden="1" customWidth="1"/>
    <col min="8" max="9" width="8.7265625" hidden="1" customWidth="1"/>
    <col min="10" max="10" width="22.54296875" hidden="1" customWidth="1"/>
    <col min="11" max="11" width="17" hidden="1" customWidth="1"/>
    <col min="12" max="12" width="8.7265625" hidden="1" customWidth="1"/>
    <col min="13" max="13" width="8.90625" hidden="1" customWidth="1"/>
    <col min="14" max="14" width="9.1796875" hidden="1" customWidth="1"/>
    <col min="15" max="15" width="11.36328125" hidden="1" customWidth="1"/>
    <col min="16" max="16" width="8.7265625" hidden="1" customWidth="1"/>
    <col min="17" max="17" width="11.1796875" hidden="1" customWidth="1"/>
    <col min="18" max="18" width="8.7265625" hidden="1" customWidth="1"/>
    <col min="19" max="19" width="13.1796875" hidden="1" customWidth="1"/>
    <col min="20" max="20" width="11.36328125" hidden="1" customWidth="1"/>
    <col min="21" max="21" width="13.1796875" hidden="1" customWidth="1"/>
    <col min="22" max="22" width="17.54296875" hidden="1" customWidth="1"/>
    <col min="23" max="23" width="13.1796875" hidden="1" customWidth="1"/>
    <col min="24" max="24" width="16.90625" hidden="1" customWidth="1"/>
    <col min="25" max="25" width="19.7265625" customWidth="1"/>
    <col min="26" max="29" width="8.7265625" customWidth="1"/>
    <col min="30" max="30" width="16.6328125" bestFit="1" customWidth="1"/>
    <col min="31" max="31" width="4.1796875" customWidth="1"/>
    <col min="32" max="33" width="14.453125" customWidth="1"/>
    <col min="34" max="34" width="1.54296875" customWidth="1"/>
    <col min="35" max="35" width="13.81640625" customWidth="1"/>
    <col min="36" max="36" width="8.26953125" customWidth="1"/>
    <col min="37" max="37" width="6.6328125" customWidth="1"/>
    <col min="38" max="38" width="4.1796875" customWidth="1"/>
    <col min="39" max="40" width="14.453125" customWidth="1"/>
    <col min="41" max="41" width="1.54296875" customWidth="1"/>
    <col min="42" max="42" width="13.81640625" customWidth="1"/>
    <col min="43" max="43" width="8.26953125" customWidth="1"/>
    <col min="44" max="44" width="6.6328125" customWidth="1"/>
  </cols>
  <sheetData>
    <row r="1" spans="2:44" s="1" customFormat="1" ht="14.5" customHeight="1" x14ac:dyDescent="0.35">
      <c r="B1" s="103"/>
      <c r="C1" s="103"/>
      <c r="D1" s="103"/>
      <c r="E1" s="103"/>
    </row>
    <row r="2" spans="2:44" s="1" customFormat="1" ht="14.5" customHeight="1" x14ac:dyDescent="0.35">
      <c r="B2" s="103"/>
      <c r="C2" s="103"/>
      <c r="D2" s="103"/>
      <c r="E2" s="103"/>
    </row>
    <row r="3" spans="2:44" s="1" customFormat="1" ht="14.5" customHeight="1" x14ac:dyDescent="0.35">
      <c r="B3" s="103"/>
      <c r="C3" s="103"/>
      <c r="D3" s="103"/>
      <c r="E3" s="103"/>
    </row>
    <row r="5" spans="2:44" x14ac:dyDescent="0.35">
      <c r="AQ5" s="105" t="s">
        <v>43</v>
      </c>
      <c r="AR5" s="106"/>
    </row>
    <row r="6" spans="2:44" x14ac:dyDescent="0.35">
      <c r="AN6" s="108" t="s">
        <v>44</v>
      </c>
      <c r="AO6" s="108"/>
      <c r="AP6" s="108"/>
      <c r="AQ6" s="107">
        <v>2026</v>
      </c>
      <c r="AR6" s="107"/>
    </row>
    <row r="8" spans="2:44" x14ac:dyDescent="0.35">
      <c r="AQ8" s="105" t="s">
        <v>45</v>
      </c>
      <c r="AR8" s="106"/>
    </row>
    <row r="9" spans="2:44" x14ac:dyDescent="0.35">
      <c r="AN9" s="108" t="s">
        <v>46</v>
      </c>
      <c r="AO9" s="108"/>
      <c r="AP9" s="108"/>
      <c r="AQ9" s="109" t="s">
        <v>50</v>
      </c>
      <c r="AR9" s="109"/>
    </row>
    <row r="11" spans="2:44" x14ac:dyDescent="0.35">
      <c r="B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04" t="str">
        <f>"Breakdown - "&amp;IF(selected_period="Total Year",selected_year&amp;" (Total Year)",selected_period_display&amp;" "&amp;selected_year)</f>
        <v>Breakdown - 2026 (Total Year)</v>
      </c>
      <c r="Z11" s="104"/>
      <c r="AA11" s="104"/>
      <c r="AB11" s="104"/>
      <c r="AC11" s="104"/>
      <c r="AD11" s="104"/>
      <c r="AF11" s="104" t="str">
        <f>"Summary - "&amp;IF(selected_period="Total Year",selected_year&amp;" (Total Year)",selected_period_display&amp;" "&amp;selected_year)</f>
        <v>Summary - 2026 (Total Year)</v>
      </c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</row>
    <row r="12" spans="2:44" x14ac:dyDescent="0.35">
      <c r="B12" s="52"/>
      <c r="C12" s="54" t="s">
        <v>55</v>
      </c>
      <c r="D12" s="55" t="s">
        <v>56</v>
      </c>
      <c r="E12" s="54" t="s">
        <v>57</v>
      </c>
      <c r="F12" s="53" t="s">
        <v>58</v>
      </c>
      <c r="G12" s="53" t="s">
        <v>59</v>
      </c>
      <c r="H12" s="55" t="s">
        <v>60</v>
      </c>
      <c r="I12" s="54" t="s">
        <v>61</v>
      </c>
      <c r="J12" s="53" t="s">
        <v>62</v>
      </c>
      <c r="K12" s="53" t="s">
        <v>63</v>
      </c>
      <c r="L12" s="55" t="s">
        <v>64</v>
      </c>
      <c r="M12" s="54" t="s">
        <v>65</v>
      </c>
      <c r="N12" s="55" t="s">
        <v>66</v>
      </c>
      <c r="O12" s="54" t="s">
        <v>67</v>
      </c>
      <c r="P12" s="53" t="s">
        <v>68</v>
      </c>
      <c r="Q12" s="53" t="s">
        <v>69</v>
      </c>
      <c r="R12" s="55" t="s">
        <v>70</v>
      </c>
      <c r="S12" s="53" t="s">
        <v>71</v>
      </c>
      <c r="T12" s="53" t="s">
        <v>72</v>
      </c>
      <c r="U12" s="53" t="s">
        <v>73</v>
      </c>
      <c r="V12" s="53" t="s">
        <v>74</v>
      </c>
      <c r="W12" s="55" t="s">
        <v>75</v>
      </c>
      <c r="X12" s="59" t="s">
        <v>76</v>
      </c>
    </row>
    <row r="13" spans="2:44" x14ac:dyDescent="0.35">
      <c r="C13" s="56" cm="1">
        <f t="array" ref="C13">income_header_row</f>
        <v>9</v>
      </c>
      <c r="D13" s="57">
        <f t="shared" ref="D13:D50" si="0">IF(is_header,row_id,
IF(NOT(is_empty),D12,-1))</f>
        <v>9</v>
      </c>
      <c r="E13" s="56" cm="1">
        <f t="array" ref="E13">1*OR(row_id=income_header_row,row_id=expenses_header_row,row_id=savings_header_row)</f>
        <v>1</v>
      </c>
      <c r="F13">
        <f t="shared" ref="F13:F50" si="1">1*NOT(OR(is_header,is_total,is_empty))</f>
        <v>0</v>
      </c>
      <c r="G13" cm="1">
        <f t="array" ref="G13">1*OR(row_id=expenses_total_row,row_id=savings_total_row,row_id=income_total_row)</f>
        <v>0</v>
      </c>
      <c r="H13" s="57">
        <f t="shared" ref="H13:H50" si="2">1*OR(row_id="/1", row_id="/2", row_id=-1)</f>
        <v>0</v>
      </c>
      <c r="I13" s="56" t="str" cm="1">
        <f t="array" ref="I13">IFERROR(INDEX('Budget Planning'!$C:$C, header_row_id), "")</f>
        <v>Income</v>
      </c>
      <c r="J13" t="str" cm="1">
        <f t="array" ref="J13">IFERROR(INDEX('Budget Planning'!$C:$C, row_id), "")</f>
        <v>Income</v>
      </c>
      <c r="K13" s="58" t="str" cm="1">
        <f t="array" ref="K13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13" s="57" t="str" cm="1">
        <f t="array" ref="L13">IF(OR(is_empty,is_header), "",
  INDEX('Budget Planning'!$E:$AS, row_id,
    MATCH(IF(selected_period="Total Year", selected_year, DATE(selected_year, selected_period, 1)),'Budget Planning'!$E$9:$AS$9,0) ))</f>
        <v/>
      </c>
      <c r="M13" s="56" t="str" cm="1">
        <f t="array" ref="M13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13" s="57" t="str" cm="1">
        <f t="array" ref="N13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13" s="56" t="str">
        <f t="shared" ref="O13:O50" si="3">IF(is_cat, ADDRESS(sort_min_row, COLUMN(tracked)) &amp; ":" &amp; ADDRESS(sort_max_row,COLUMN(tracked)), "")</f>
        <v/>
      </c>
      <c r="P13" t="str">
        <f t="shared" ref="P13:P50" ca="1" si="4">IF(is_cat, RANK(tracked, INDIRECT(tracked_range), 0),"")</f>
        <v/>
      </c>
      <c r="Q13" t="str">
        <f t="shared" ref="Q13:Q50" si="5">IF(is_cat, ADDRESS(sort_min_row, COLUMN(budget)) &amp; ":" &amp; ADDRESS(sort_max_row,COLUMN(budget)), "")</f>
        <v/>
      </c>
      <c r="R13" s="57" t="str">
        <f t="shared" ref="R13:R50" ca="1" si="6">IF(is_cat, RANK(budget, INDIRECT(budget_range), 0),"")</f>
        <v/>
      </c>
      <c r="S13" s="56" t="str">
        <f t="shared" ref="S13:S50" si="7">IF(is_cat, _xlfn.NUMBERVALUE(tracked_rank &amp; budget_rank), "")</f>
        <v/>
      </c>
      <c r="T13" t="str">
        <f t="shared" ref="T13:T50" si="8">IF(is_cat, ADDRESS(sort_min_row, COLUMN(comb_rank)) &amp; ":" &amp; ADDRESS(sort_max_row,COLUMN(comb_rank)), "")</f>
        <v/>
      </c>
      <c r="U13" t="str">
        <f t="shared" ref="U13:U50" ca="1" si="9">IF(is_cat, RANK(comb_rank, INDIRECT(comb_rank_range),1), "")</f>
        <v/>
      </c>
      <c r="V13" t="str">
        <f t="shared" ref="V13:V50" si="10">IF(is_cat, ADDRESS(sort_min_row, COLUMN(comb_rank_norm)) &amp; ":" &amp; ADDRESS(ROW(),COLUMN(comb_rank_norm)), "")</f>
        <v/>
      </c>
      <c r="W13" s="57" t="str">
        <f t="shared" ref="W13:W50" ca="1" si="11">IF(is_cat,comb_rank_norm + COUNTIF(INDIRECT(comb_rank_norm_run_range),comb_rank_norm)-1, "")</f>
        <v/>
      </c>
      <c r="X13" s="60">
        <f t="shared" ref="X13:X50" si="12">IF(is_cat, header_row_id  + comb_rank_unique, row_id)</f>
        <v>9</v>
      </c>
      <c r="Y13" s="62" t="str">
        <f t="shared" ref="Y13:Y50" si="13">IF(is_empty, "", INDEX($J:$J,MATCH(row_id, $X:$X, 0)))</f>
        <v>Income</v>
      </c>
      <c r="Z13" s="64" t="str">
        <f t="shared" ref="Z13:Z50" si="14">IF(is_empty, "", IF(is_header, "Tracked", INDEX($K:$K, MATCH(row_id, $X:$X,0))))</f>
        <v>Tracked</v>
      </c>
      <c r="AA13" s="64" t="str">
        <f t="shared" ref="AA13:AA50" si="15">IF(is_empty, "", IF(is_header, "Budget", INDEX($L:$L, MATCH(row_id, $X:$X,0))))</f>
        <v>Budget</v>
      </c>
      <c r="AB13" s="63" t="str">
        <f t="shared" ref="AB13:AB50" si="16">IF(is_empty, "", IF(is_header, "% Compl.", IFERROR(out_tracked / out_budget, "-")))</f>
        <v>% Compl.</v>
      </c>
      <c r="AC13" s="64" t="str">
        <f t="shared" ref="AC13:AC50" si="17">IF(is_empty, "", IF(is_header, "Remaining", IF(out_budget - out_tracked &gt; 0, out_budget - out_tracked, 0)))</f>
        <v>Remaining</v>
      </c>
      <c r="AD13" s="62" t="str">
        <f t="shared" ref="AD13:AD34" si="18">IF(is_empty, "", IF(is_header, "Excess", IF(out_budget - out_tracked &lt; 0, out_tracked - out_budget, 0)))</f>
        <v>Excess</v>
      </c>
      <c r="AF13" s="65"/>
      <c r="AG13" s="66"/>
      <c r="AH13" s="66"/>
      <c r="AI13" s="66"/>
      <c r="AJ13" s="66"/>
      <c r="AK13" s="67"/>
      <c r="AM13" s="65"/>
      <c r="AN13" s="66"/>
      <c r="AO13" s="66"/>
      <c r="AP13" s="66"/>
      <c r="AQ13" s="66"/>
      <c r="AR13" s="67"/>
    </row>
    <row r="14" spans="2:44" x14ac:dyDescent="0.35">
      <c r="C14" s="56" cm="1">
        <f t="array" ref="C14">IF(C13=-1,-1,
IF(C13&lt;income_max_row,C13+1,
IF(C13=income_max_row,income_total_row,
IF(C13=income_total_row,"/1",
IF(C13="/1",expenses_header_row,
IF(C13&lt;expenses_max_row,C13+1,
IF(C13=expenses_max_row,expenses_total_row,
IF(C13=expenses_total_row,"/2",
IF(C13="/2",savings_header_row,
IF(C13&lt;savings_max_row,C13+1,
IF(C13=savings_max_row,savings_total_row,-1)))))))))))</f>
        <v>10</v>
      </c>
      <c r="D14" s="57">
        <f t="shared" si="0"/>
        <v>9</v>
      </c>
      <c r="E14" s="56" cm="1">
        <f t="array" ref="E14">1*OR(row_id=income_header_row,row_id=expenses_header_row,row_id=savings_header_row)</f>
        <v>0</v>
      </c>
      <c r="F14">
        <f t="shared" si="1"/>
        <v>1</v>
      </c>
      <c r="G14" cm="1">
        <f t="array" ref="G14">1*OR(row_id=expenses_total_row,row_id=savings_total_row,row_id=income_total_row)</f>
        <v>0</v>
      </c>
      <c r="H14" s="57">
        <f t="shared" si="2"/>
        <v>0</v>
      </c>
      <c r="I14" s="56" t="str" cm="1">
        <f t="array" ref="I14">IFERROR(INDEX('Budget Planning'!$C:$C, header_row_id), "")</f>
        <v>Income</v>
      </c>
      <c r="J14" t="str" cm="1">
        <f t="array" ref="J14">IFERROR(INDEX('Budget Planning'!$C:$C, row_id), "")</f>
        <v>Empoyment(Net)</v>
      </c>
      <c r="K14" s="58" cm="1">
        <f t="array" ref="K14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47100</v>
      </c>
      <c r="L14" s="57" cm="1">
        <f t="array" ref="L14">IF(OR(is_empty,is_header), "",
  INDEX('Budget Planning'!$E:$AS, row_id,
    MATCH(IF(selected_period="Total Year", selected_year, DATE(selected_year, selected_period, 1)),'Budget Planning'!$E$9:$AS$9,0) ))</f>
        <v>106100</v>
      </c>
      <c r="M14" s="56" cm="1">
        <f t="array" ref="M14">IF(is_cat,
   IF(header_row_id=income_header_row, MATCH(income_min_row,$C:$C,0),
    IF(header_row_id=expenses_header_row, MATCH(expenses_min_row,$C:$C,0),
     IF(header_row_id=savings_header_row, MATCH(savings_min_row,$C:$C,0), ""))), "")</f>
        <v>14</v>
      </c>
      <c r="N14" s="57" cm="1">
        <f t="array" ref="N14">IF(is_cat,
   IF(header_row_id=income_header_row, MATCH(income_max_row,$C:$C,0),
    IF(header_row_id=expenses_header_row, MATCH(expenses_max_row,$C:$C,0),
     IF(header_row_id=savings_header_row, MATCH(savings_max_row,$C:$C,0), ""))), "")</f>
        <v>17</v>
      </c>
      <c r="O14" s="56" t="str">
        <f t="shared" si="3"/>
        <v>$K$14:$K$17</v>
      </c>
      <c r="P14">
        <f t="shared" ca="1" si="4"/>
        <v>1</v>
      </c>
      <c r="Q14" t="str">
        <f t="shared" si="5"/>
        <v>$L$14:$L$17</v>
      </c>
      <c r="R14" s="57">
        <f t="shared" ca="1" si="6"/>
        <v>1</v>
      </c>
      <c r="S14" s="56">
        <f t="shared" ca="1" si="7"/>
        <v>11</v>
      </c>
      <c r="T14" t="str">
        <f t="shared" si="8"/>
        <v>$S$14:$S$17</v>
      </c>
      <c r="U14">
        <f t="shared" ca="1" si="9"/>
        <v>1</v>
      </c>
      <c r="V14" t="str">
        <f t="shared" si="10"/>
        <v>$U$14:$U$14</v>
      </c>
      <c r="W14" s="57">
        <f t="shared" ca="1" si="11"/>
        <v>1</v>
      </c>
      <c r="X14" s="60">
        <f t="shared" ca="1" si="12"/>
        <v>10</v>
      </c>
      <c r="Y14" s="62" t="str">
        <f t="shared" ca="1" si="13"/>
        <v>Empoyment(Net)</v>
      </c>
      <c r="Z14" s="64">
        <f t="shared" ca="1" si="14"/>
        <v>47100</v>
      </c>
      <c r="AA14" s="64">
        <f t="shared" ca="1" si="15"/>
        <v>106100</v>
      </c>
      <c r="AB14" s="63">
        <f t="shared" ca="1" si="16"/>
        <v>0.44392082940622057</v>
      </c>
      <c r="AC14" s="64">
        <f t="shared" ca="1" si="17"/>
        <v>59000</v>
      </c>
      <c r="AD14" s="62">
        <f t="shared" ca="1" si="18"/>
        <v>0</v>
      </c>
      <c r="AF14" s="56"/>
      <c r="AK14" s="57"/>
      <c r="AM14" s="56"/>
      <c r="AR14" s="57"/>
    </row>
    <row r="15" spans="2:44" x14ac:dyDescent="0.35">
      <c r="C15" s="56" cm="1">
        <f t="array" ref="C15">IF(C14=-1,-1,
IF(C14&lt;income_max_row,C14+1,
IF(C14=income_max_row,income_total_row,
IF(C14=income_total_row,"/1",
IF(C14="/1",expenses_header_row,
IF(C14&lt;expenses_max_row,C14+1,
IF(C14=expenses_max_row,expenses_total_row,
IF(C14=expenses_total_row,"/2",
IF(C14="/2",savings_header_row,
IF(C14&lt;savings_max_row,C14+1,
IF(C14=savings_max_row,savings_total_row,-1)))))))))))</f>
        <v>11</v>
      </c>
      <c r="D15" s="57">
        <f t="shared" si="0"/>
        <v>9</v>
      </c>
      <c r="E15" s="56" cm="1">
        <f t="array" ref="E15">1*OR(row_id=income_header_row,row_id=expenses_header_row,row_id=savings_header_row)</f>
        <v>0</v>
      </c>
      <c r="F15">
        <f t="shared" si="1"/>
        <v>1</v>
      </c>
      <c r="G15" cm="1">
        <f t="array" ref="G15">1*OR(row_id=expenses_total_row,row_id=savings_total_row,row_id=income_total_row)</f>
        <v>0</v>
      </c>
      <c r="H15" s="57">
        <f t="shared" si="2"/>
        <v>0</v>
      </c>
      <c r="I15" s="56" t="str" cm="1">
        <f t="array" ref="I15">IFERROR(INDEX('Budget Planning'!$C:$C, header_row_id), "")</f>
        <v>Income</v>
      </c>
      <c r="J15" t="str" cm="1">
        <f t="array" ref="J15">IFERROR(INDEX('Budget Planning'!$C:$C, row_id), "")</f>
        <v>Side Hustle(Net)</v>
      </c>
      <c r="K15" s="58" cm="1">
        <f t="array" ref="K15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10931.15</v>
      </c>
      <c r="L15" s="57" cm="1">
        <f t="array" ref="L15">IF(OR(is_empty,is_header), "",
  INDEX('Budget Planning'!$E:$AS, row_id,
    MATCH(IF(selected_period="Total Year", selected_year, DATE(selected_year, selected_period, 1)),'Budget Planning'!$E$9:$AS$9,0) ))</f>
        <v>26750</v>
      </c>
      <c r="M15" s="56" cm="1">
        <f t="array" ref="M15">IF(is_cat,
   IF(header_row_id=income_header_row, MATCH(income_min_row,$C:$C,0),
    IF(header_row_id=expenses_header_row, MATCH(expenses_min_row,$C:$C,0),
     IF(header_row_id=savings_header_row, MATCH(savings_min_row,$C:$C,0), ""))), "")</f>
        <v>14</v>
      </c>
      <c r="N15" s="57" cm="1">
        <f t="array" ref="N15">IF(is_cat,
   IF(header_row_id=income_header_row, MATCH(income_max_row,$C:$C,0),
    IF(header_row_id=expenses_header_row, MATCH(expenses_max_row,$C:$C,0),
     IF(header_row_id=savings_header_row, MATCH(savings_max_row,$C:$C,0), ""))), "")</f>
        <v>17</v>
      </c>
      <c r="O15" s="56" t="str">
        <f t="shared" si="3"/>
        <v>$K$14:$K$17</v>
      </c>
      <c r="P15">
        <f t="shared" ca="1" si="4"/>
        <v>2</v>
      </c>
      <c r="Q15" t="str">
        <f t="shared" si="5"/>
        <v>$L$14:$L$17</v>
      </c>
      <c r="R15" s="57">
        <f t="shared" ca="1" si="6"/>
        <v>2</v>
      </c>
      <c r="S15" s="56">
        <f t="shared" ca="1" si="7"/>
        <v>22</v>
      </c>
      <c r="T15" t="str">
        <f t="shared" si="8"/>
        <v>$S$14:$S$17</v>
      </c>
      <c r="U15">
        <f t="shared" ca="1" si="9"/>
        <v>2</v>
      </c>
      <c r="V15" t="str">
        <f t="shared" si="10"/>
        <v>$U$14:$U$15</v>
      </c>
      <c r="W15" s="57">
        <f t="shared" ca="1" si="11"/>
        <v>2</v>
      </c>
      <c r="X15" s="60">
        <f t="shared" ca="1" si="12"/>
        <v>11</v>
      </c>
      <c r="Y15" s="62" t="str">
        <f t="shared" ca="1" si="13"/>
        <v>Side Hustle(Net)</v>
      </c>
      <c r="Z15" s="64">
        <f t="shared" ca="1" si="14"/>
        <v>10931.15</v>
      </c>
      <c r="AA15" s="64">
        <f t="shared" ca="1" si="15"/>
        <v>26750</v>
      </c>
      <c r="AB15" s="63">
        <f t="shared" ca="1" si="16"/>
        <v>0.40864112149532711</v>
      </c>
      <c r="AC15" s="64">
        <f t="shared" ca="1" si="17"/>
        <v>15818.85</v>
      </c>
      <c r="AD15" s="62">
        <f t="shared" ca="1" si="18"/>
        <v>0</v>
      </c>
      <c r="AF15" s="56"/>
      <c r="AK15" s="57"/>
      <c r="AM15" s="56"/>
      <c r="AR15" s="57"/>
    </row>
    <row r="16" spans="2:44" x14ac:dyDescent="0.35">
      <c r="C16" s="56" cm="1">
        <f t="array" ref="C16">IF(C15=-1,-1,
IF(C15&lt;income_max_row,C15+1,
IF(C15=income_max_row,income_total_row,
IF(C15=income_total_row,"/1",
IF(C15="/1",expenses_header_row,
IF(C15&lt;expenses_max_row,C15+1,
IF(C15=expenses_max_row,expenses_total_row,
IF(C15=expenses_total_row,"/2",
IF(C15="/2",savings_header_row,
IF(C15&lt;savings_max_row,C15+1,
IF(C15=savings_max_row,savings_total_row,-1)))))))))))</f>
        <v>12</v>
      </c>
      <c r="D16" s="57">
        <f t="shared" si="0"/>
        <v>9</v>
      </c>
      <c r="E16" s="56" cm="1">
        <f t="array" ref="E16">1*OR(row_id=income_header_row,row_id=expenses_header_row,row_id=savings_header_row)</f>
        <v>0</v>
      </c>
      <c r="F16">
        <f t="shared" si="1"/>
        <v>1</v>
      </c>
      <c r="G16" cm="1">
        <f t="array" ref="G16">1*OR(row_id=expenses_total_row,row_id=savings_total_row,row_id=income_total_row)</f>
        <v>0</v>
      </c>
      <c r="H16" s="57">
        <f t="shared" si="2"/>
        <v>0</v>
      </c>
      <c r="I16" s="56" t="str" cm="1">
        <f t="array" ref="I16">IFERROR(INDEX('Budget Planning'!$C:$C, header_row_id), "")</f>
        <v>Income</v>
      </c>
      <c r="J16" t="str" cm="1">
        <f t="array" ref="J16">IFERROR(INDEX('Budget Planning'!$C:$C, row_id), "")</f>
        <v>Dividents</v>
      </c>
      <c r="K16" s="58" cm="1">
        <f t="array" ref="K16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2050</v>
      </c>
      <c r="L16" s="57" cm="1">
        <f t="array" ref="L16">IF(OR(is_empty,is_header), "",
  INDEX('Budget Planning'!$E:$AS, row_id,
    MATCH(IF(selected_period="Total Year", selected_year, DATE(selected_year, selected_period, 1)),'Budget Planning'!$E$9:$AS$9,0) ))</f>
        <v>3850</v>
      </c>
      <c r="M16" s="56" cm="1">
        <f t="array" ref="M16">IF(is_cat,
   IF(header_row_id=income_header_row, MATCH(income_min_row,$C:$C,0),
    IF(header_row_id=expenses_header_row, MATCH(expenses_min_row,$C:$C,0),
     IF(header_row_id=savings_header_row, MATCH(savings_min_row,$C:$C,0), ""))), "")</f>
        <v>14</v>
      </c>
      <c r="N16" s="57" cm="1">
        <f t="array" ref="N16">IF(is_cat,
   IF(header_row_id=income_header_row, MATCH(income_max_row,$C:$C,0),
    IF(header_row_id=expenses_header_row, MATCH(expenses_max_row,$C:$C,0),
     IF(header_row_id=savings_header_row, MATCH(savings_max_row,$C:$C,0), ""))), "")</f>
        <v>17</v>
      </c>
      <c r="O16" s="56" t="str">
        <f t="shared" si="3"/>
        <v>$K$14:$K$17</v>
      </c>
      <c r="P16">
        <f t="shared" ca="1" si="4"/>
        <v>3</v>
      </c>
      <c r="Q16" t="str">
        <f t="shared" si="5"/>
        <v>$L$14:$L$17</v>
      </c>
      <c r="R16" s="57">
        <f t="shared" ca="1" si="6"/>
        <v>4</v>
      </c>
      <c r="S16" s="56">
        <f t="shared" ca="1" si="7"/>
        <v>34</v>
      </c>
      <c r="T16" t="str">
        <f t="shared" si="8"/>
        <v>$S$14:$S$17</v>
      </c>
      <c r="U16">
        <f t="shared" ca="1" si="9"/>
        <v>3</v>
      </c>
      <c r="V16" t="str">
        <f t="shared" si="10"/>
        <v>$U$14:$U$16</v>
      </c>
      <c r="W16" s="57">
        <f t="shared" ca="1" si="11"/>
        <v>3</v>
      </c>
      <c r="X16" s="60">
        <f t="shared" ca="1" si="12"/>
        <v>12</v>
      </c>
      <c r="Y16" s="62" t="str">
        <f t="shared" ca="1" si="13"/>
        <v>Dividents</v>
      </c>
      <c r="Z16" s="64">
        <f t="shared" ca="1" si="14"/>
        <v>2050</v>
      </c>
      <c r="AA16" s="64">
        <f t="shared" ca="1" si="15"/>
        <v>3850</v>
      </c>
      <c r="AB16" s="63">
        <f t="shared" ca="1" si="16"/>
        <v>0.53246753246753242</v>
      </c>
      <c r="AC16" s="64">
        <f t="shared" ca="1" si="17"/>
        <v>1800</v>
      </c>
      <c r="AD16" s="62">
        <f t="shared" ca="1" si="18"/>
        <v>0</v>
      </c>
      <c r="AF16" s="56"/>
      <c r="AI16" s="79" t="str">
        <f ca="1">Calculations!E35</f>
        <v>Empoyment(Net)</v>
      </c>
      <c r="AJ16" s="80">
        <f ca="1">Calculations!F35</f>
        <v>47100</v>
      </c>
      <c r="AK16" s="57"/>
      <c r="AM16" s="56"/>
      <c r="AP16" s="79"/>
      <c r="AQ16" s="80"/>
      <c r="AR16" s="57"/>
    </row>
    <row r="17" spans="3:44" x14ac:dyDescent="0.35">
      <c r="C17" s="56" cm="1">
        <f t="array" ref="C17">IF(C16=-1,-1,
IF(C16&lt;income_max_row,C16+1,
IF(C16=income_max_row,income_total_row,
IF(C16=income_total_row,"/1",
IF(C16="/1",expenses_header_row,
IF(C16&lt;expenses_max_row,C16+1,
IF(C16=expenses_max_row,expenses_total_row,
IF(C16=expenses_total_row,"/2",
IF(C16="/2",savings_header_row,
IF(C16&lt;savings_max_row,C16+1,
IF(C16=savings_max_row,savings_total_row,-1)))))))))))</f>
        <v>13</v>
      </c>
      <c r="D17" s="57">
        <f t="shared" si="0"/>
        <v>9</v>
      </c>
      <c r="E17" s="56" cm="1">
        <f t="array" ref="E17">1*OR(row_id=income_header_row,row_id=expenses_header_row,row_id=savings_header_row)</f>
        <v>0</v>
      </c>
      <c r="F17">
        <f t="shared" si="1"/>
        <v>1</v>
      </c>
      <c r="G17" cm="1">
        <f t="array" ref="G17">1*OR(row_id=expenses_total_row,row_id=savings_total_row,row_id=income_total_row)</f>
        <v>0</v>
      </c>
      <c r="H17" s="57">
        <f t="shared" si="2"/>
        <v>0</v>
      </c>
      <c r="I17" s="56" t="str" cm="1">
        <f t="array" ref="I17">IFERROR(INDEX('Budget Planning'!$C:$C, header_row_id), "")</f>
        <v>Income</v>
      </c>
      <c r="J17" t="str" cm="1">
        <f t="array" ref="J17">IFERROR(INDEX('Budget Planning'!$C:$C, row_id), "")</f>
        <v>Other</v>
      </c>
      <c r="K17" s="58" cm="1">
        <f t="array" ref="K17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1000</v>
      </c>
      <c r="L17" s="57" cm="1">
        <f t="array" ref="L17">IF(OR(is_empty,is_header), "",
  INDEX('Budget Planning'!$E:$AS, row_id,
    MATCH(IF(selected_period="Total Year", selected_year, DATE(selected_year, selected_period, 1)),'Budget Planning'!$E$9:$AS$9,0) ))</f>
        <v>4000</v>
      </c>
      <c r="M17" s="56" cm="1">
        <f t="array" ref="M17">IF(is_cat,
   IF(header_row_id=income_header_row, MATCH(income_min_row,$C:$C,0),
    IF(header_row_id=expenses_header_row, MATCH(expenses_min_row,$C:$C,0),
     IF(header_row_id=savings_header_row, MATCH(savings_min_row,$C:$C,0), ""))), "")</f>
        <v>14</v>
      </c>
      <c r="N17" s="57" cm="1">
        <f t="array" ref="N17">IF(is_cat,
   IF(header_row_id=income_header_row, MATCH(income_max_row,$C:$C,0),
    IF(header_row_id=expenses_header_row, MATCH(expenses_max_row,$C:$C,0),
     IF(header_row_id=savings_header_row, MATCH(savings_max_row,$C:$C,0), ""))), "")</f>
        <v>17</v>
      </c>
      <c r="O17" s="56" t="str">
        <f t="shared" si="3"/>
        <v>$K$14:$K$17</v>
      </c>
      <c r="P17">
        <f t="shared" ca="1" si="4"/>
        <v>4</v>
      </c>
      <c r="Q17" t="str">
        <f t="shared" si="5"/>
        <v>$L$14:$L$17</v>
      </c>
      <c r="R17" s="57">
        <f t="shared" ca="1" si="6"/>
        <v>3</v>
      </c>
      <c r="S17" s="56">
        <f t="shared" ca="1" si="7"/>
        <v>43</v>
      </c>
      <c r="T17" t="str">
        <f t="shared" si="8"/>
        <v>$S$14:$S$17</v>
      </c>
      <c r="U17">
        <f t="shared" ca="1" si="9"/>
        <v>4</v>
      </c>
      <c r="V17" t="str">
        <f t="shared" si="10"/>
        <v>$U$14:$U$17</v>
      </c>
      <c r="W17" s="57">
        <f t="shared" ca="1" si="11"/>
        <v>4</v>
      </c>
      <c r="X17" s="60">
        <f t="shared" ca="1" si="12"/>
        <v>13</v>
      </c>
      <c r="Y17" s="62" t="str">
        <f t="shared" ca="1" si="13"/>
        <v>Other</v>
      </c>
      <c r="Z17" s="64">
        <f t="shared" ca="1" si="14"/>
        <v>1000</v>
      </c>
      <c r="AA17" s="64">
        <f t="shared" ca="1" si="15"/>
        <v>4000</v>
      </c>
      <c r="AB17" s="63">
        <f t="shared" ca="1" si="16"/>
        <v>0.25</v>
      </c>
      <c r="AC17" s="64">
        <f t="shared" ca="1" si="17"/>
        <v>3000</v>
      </c>
      <c r="AD17" s="62">
        <f t="shared" ca="1" si="18"/>
        <v>0</v>
      </c>
      <c r="AF17" s="56"/>
      <c r="AI17" s="79" t="str">
        <f ca="1">Calculations!E36</f>
        <v>Side Hustle(Net)</v>
      </c>
      <c r="AJ17" s="80">
        <f ca="1">Calculations!F36</f>
        <v>10931.15</v>
      </c>
      <c r="AK17" s="57"/>
      <c r="AM17" s="56"/>
      <c r="AP17" s="79"/>
      <c r="AQ17" s="80"/>
      <c r="AR17" s="57"/>
    </row>
    <row r="18" spans="3:44" x14ac:dyDescent="0.35">
      <c r="C18" s="56" cm="1">
        <f t="array" ref="C18">IF(C17=-1,-1,
IF(C17&lt;income_max_row,C17+1,
IF(C17=income_max_row,income_total_row,
IF(C17=income_total_row,"/1",
IF(C17="/1",expenses_header_row,
IF(C17&lt;expenses_max_row,C17+1,
IF(C17=expenses_max_row,expenses_total_row,
IF(C17=expenses_total_row,"/2",
IF(C17="/2",savings_header_row,
IF(C17&lt;savings_max_row,C17+1,
IF(C17=savings_max_row,savings_total_row,-1)))))))))))</f>
        <v>20</v>
      </c>
      <c r="D18" s="57">
        <f t="shared" si="0"/>
        <v>9</v>
      </c>
      <c r="E18" s="56" cm="1">
        <f t="array" ref="E18">1*OR(row_id=income_header_row,row_id=expenses_header_row,row_id=savings_header_row)</f>
        <v>0</v>
      </c>
      <c r="F18">
        <f t="shared" si="1"/>
        <v>0</v>
      </c>
      <c r="G18" cm="1">
        <f t="array" ref="G18">1*OR(row_id=expenses_total_row,row_id=savings_total_row,row_id=income_total_row)</f>
        <v>1</v>
      </c>
      <c r="H18" s="57">
        <f t="shared" si="2"/>
        <v>0</v>
      </c>
      <c r="I18" s="56" t="str" cm="1">
        <f t="array" ref="I18">IFERROR(INDEX('Budget Planning'!$C:$C, header_row_id), "")</f>
        <v>Income</v>
      </c>
      <c r="J18" t="str" cm="1">
        <f t="array" ref="J18">IFERROR(INDEX('Budget Planning'!$C:$C, row_id), "")</f>
        <v>Total</v>
      </c>
      <c r="K18" s="58" cm="1">
        <f t="array" ref="K18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61081.149999999994</v>
      </c>
      <c r="L18" s="57" cm="1">
        <f t="array" aca="1" ref="L18" ca="1">IF(OR(is_empty,is_header), "",
  INDEX('Budget Planning'!$E:$AS, row_id,
    MATCH(IF(selected_period="Total Year", selected_year, DATE(selected_year, selected_period, 1)),'Budget Planning'!$E$9:$AS$9,0) ))</f>
        <v>140700</v>
      </c>
      <c r="M18" s="56" t="str" cm="1">
        <f t="array" ref="M18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18" s="57" t="str" cm="1">
        <f t="array" ref="N18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18" s="56" t="str">
        <f t="shared" si="3"/>
        <v/>
      </c>
      <c r="P18" t="str">
        <f t="shared" ca="1" si="4"/>
        <v/>
      </c>
      <c r="Q18" t="str">
        <f t="shared" si="5"/>
        <v/>
      </c>
      <c r="R18" s="57" t="str">
        <f t="shared" ca="1" si="6"/>
        <v/>
      </c>
      <c r="S18" s="56" t="str">
        <f t="shared" si="7"/>
        <v/>
      </c>
      <c r="T18" t="str">
        <f t="shared" si="8"/>
        <v/>
      </c>
      <c r="U18" t="str">
        <f t="shared" ca="1" si="9"/>
        <v/>
      </c>
      <c r="V18" t="str">
        <f t="shared" si="10"/>
        <v/>
      </c>
      <c r="W18" s="57" t="str">
        <f t="shared" ca="1" si="11"/>
        <v/>
      </c>
      <c r="X18" s="60">
        <f t="shared" si="12"/>
        <v>20</v>
      </c>
      <c r="Y18" s="62" t="str">
        <f t="shared" ca="1" si="13"/>
        <v>Total</v>
      </c>
      <c r="Z18" s="64">
        <f t="shared" ca="1" si="14"/>
        <v>61081.149999999994</v>
      </c>
      <c r="AA18" s="64">
        <f t="shared" ca="1" si="15"/>
        <v>140700</v>
      </c>
      <c r="AB18" s="63">
        <f t="shared" ca="1" si="16"/>
        <v>0.43412331201137166</v>
      </c>
      <c r="AC18" s="64">
        <f t="shared" ca="1" si="17"/>
        <v>79618.850000000006</v>
      </c>
      <c r="AD18" s="62">
        <f ca="1">IF(is_empty, "", IF(is_header, "Excess", IF(out_budget - out_tracked &lt; 0, out_tracked - out_budget, 0)))</f>
        <v>0</v>
      </c>
      <c r="AF18" s="56"/>
      <c r="AI18" s="79" t="str">
        <f ca="1">Calculations!E37</f>
        <v>Dividents</v>
      </c>
      <c r="AJ18" s="80">
        <f ca="1">Calculations!F37</f>
        <v>2050</v>
      </c>
      <c r="AK18" s="57"/>
      <c r="AM18" s="56"/>
      <c r="AP18" s="79"/>
      <c r="AQ18" s="80"/>
      <c r="AR18" s="57"/>
    </row>
    <row r="19" spans="3:44" x14ac:dyDescent="0.35">
      <c r="C19" s="56" t="str" cm="1">
        <f t="array" ref="C19">IF(C18=-1,-1,
IF(C18&lt;income_max_row,C18+1,
IF(C18=income_max_row,income_total_row,
IF(C18=income_total_row,"/1",
IF(C18="/1",expenses_header_row,
IF(C18&lt;expenses_max_row,C18+1,
IF(C18=expenses_max_row,expenses_total_row,
IF(C18=expenses_total_row,"/2",
IF(C18="/2",savings_header_row,
IF(C18&lt;savings_max_row,C18+1,
IF(C18=savings_max_row,savings_total_row,-1)))))))))))</f>
        <v>/1</v>
      </c>
      <c r="D19" s="57">
        <f t="shared" si="0"/>
        <v>-1</v>
      </c>
      <c r="E19" s="56" cm="1">
        <f t="array" ref="E19">1*OR(row_id=income_header_row,row_id=expenses_header_row,row_id=savings_header_row)</f>
        <v>0</v>
      </c>
      <c r="F19">
        <f t="shared" si="1"/>
        <v>0</v>
      </c>
      <c r="G19" cm="1">
        <f t="array" ref="G19">1*OR(row_id=expenses_total_row,row_id=savings_total_row,row_id=income_total_row)</f>
        <v>0</v>
      </c>
      <c r="H19" s="57">
        <f t="shared" si="2"/>
        <v>1</v>
      </c>
      <c r="I19" s="56" t="str" cm="1">
        <f t="array" ref="I19">IFERROR(INDEX('Budget Planning'!$C:$C, header_row_id), "")</f>
        <v/>
      </c>
      <c r="J19" t="str" cm="1">
        <f t="array" ref="J19">IFERROR(INDEX('Budget Planning'!$C:$C, row_id), "")</f>
        <v/>
      </c>
      <c r="K19" s="58" t="str" cm="1">
        <f t="array" ref="K19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19" s="57" t="str" cm="1">
        <f t="array" ref="L19">IF(OR(is_empty,is_header), "",
  INDEX('Budget Planning'!$E:$AS, row_id,
    MATCH(IF(selected_period="Total Year", selected_year, DATE(selected_year, selected_period, 1)),'Budget Planning'!$E$9:$AS$9,0) ))</f>
        <v/>
      </c>
      <c r="M19" s="56" t="str" cm="1">
        <f t="array" ref="M19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19" s="57" t="str" cm="1">
        <f t="array" ref="N19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19" s="56" t="str">
        <f t="shared" si="3"/>
        <v/>
      </c>
      <c r="P19" t="str">
        <f t="shared" ca="1" si="4"/>
        <v/>
      </c>
      <c r="Q19" t="str">
        <f t="shared" si="5"/>
        <v/>
      </c>
      <c r="R19" s="57" t="str">
        <f t="shared" ca="1" si="6"/>
        <v/>
      </c>
      <c r="S19" s="56" t="str">
        <f t="shared" si="7"/>
        <v/>
      </c>
      <c r="T19" t="str">
        <f t="shared" si="8"/>
        <v/>
      </c>
      <c r="U19" t="str">
        <f t="shared" ca="1" si="9"/>
        <v/>
      </c>
      <c r="V19" t="str">
        <f t="shared" si="10"/>
        <v/>
      </c>
      <c r="W19" s="57" t="str">
        <f t="shared" ca="1" si="11"/>
        <v/>
      </c>
      <c r="X19" s="60" t="str">
        <f t="shared" si="12"/>
        <v>/1</v>
      </c>
      <c r="Y19" s="62" t="str">
        <f t="shared" si="13"/>
        <v/>
      </c>
      <c r="Z19" s="64" t="str">
        <f t="shared" si="14"/>
        <v/>
      </c>
      <c r="AA19" s="64" t="str">
        <f t="shared" si="15"/>
        <v/>
      </c>
      <c r="AB19" s="63" t="str">
        <f t="shared" si="16"/>
        <v/>
      </c>
      <c r="AC19" s="64" t="str">
        <f t="shared" si="17"/>
        <v/>
      </c>
      <c r="AD19" s="62" t="str">
        <f t="shared" si="18"/>
        <v/>
      </c>
      <c r="AF19" s="56"/>
      <c r="AI19" s="79" t="str">
        <f ca="1">Calculations!E38</f>
        <v>Other</v>
      </c>
      <c r="AJ19" s="80">
        <f ca="1">Calculations!F38</f>
        <v>1000</v>
      </c>
      <c r="AK19" s="57"/>
      <c r="AM19" s="56"/>
      <c r="AP19" s="79"/>
      <c r="AQ19" s="80"/>
      <c r="AR19" s="57"/>
    </row>
    <row r="20" spans="3:44" x14ac:dyDescent="0.35">
      <c r="C20" s="56" cm="1">
        <f t="array" ref="C20">IF(C19=-1,-1,
IF(C19&lt;income_max_row,C19+1,
IF(C19=income_max_row,income_total_row,
IF(C19=income_total_row,"/1",
IF(C19="/1",expenses_header_row,
IF(C19&lt;expenses_max_row,C19+1,
IF(C19=expenses_max_row,expenses_total_row,
IF(C19=expenses_total_row,"/2",
IF(C19="/2",savings_header_row,
IF(C19&lt;savings_max_row,C19+1,
IF(C19=savings_max_row,savings_total_row,-1)))))))))))</f>
        <v>22</v>
      </c>
      <c r="D20" s="57">
        <f t="shared" si="0"/>
        <v>22</v>
      </c>
      <c r="E20" s="56" cm="1">
        <f t="array" ref="E20">1*OR(row_id=income_header_row,row_id=expenses_header_row,row_id=savings_header_row)</f>
        <v>1</v>
      </c>
      <c r="F20">
        <f t="shared" si="1"/>
        <v>0</v>
      </c>
      <c r="G20" cm="1">
        <f t="array" ref="G20">1*OR(row_id=expenses_total_row,row_id=savings_total_row,row_id=income_total_row)</f>
        <v>0</v>
      </c>
      <c r="H20" s="57">
        <f t="shared" si="2"/>
        <v>0</v>
      </c>
      <c r="I20" s="56" t="str" cm="1">
        <f t="array" ref="I20">IFERROR(INDEX('Budget Planning'!$C:$C, header_row_id), "")</f>
        <v>Expenses</v>
      </c>
      <c r="J20" t="str" cm="1">
        <f t="array" ref="J20">IFERROR(INDEX('Budget Planning'!$C:$C, row_id), "")</f>
        <v>Expenses</v>
      </c>
      <c r="K20" s="58" t="str" cm="1">
        <f t="array" ref="K20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20" s="57" t="str" cm="1">
        <f t="array" ref="L20">IF(OR(is_empty,is_header), "",
  INDEX('Budget Planning'!$E:$AS, row_id,
    MATCH(IF(selected_period="Total Year", selected_year, DATE(selected_year, selected_period, 1)),'Budget Planning'!$E$9:$AS$9,0) ))</f>
        <v/>
      </c>
      <c r="M20" s="56" t="str" cm="1">
        <f t="array" ref="M20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20" s="57" t="str" cm="1">
        <f t="array" ref="N20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20" s="56" t="str">
        <f t="shared" si="3"/>
        <v/>
      </c>
      <c r="P20" t="str">
        <f t="shared" ca="1" si="4"/>
        <v/>
      </c>
      <c r="Q20" t="str">
        <f t="shared" si="5"/>
        <v/>
      </c>
      <c r="R20" s="57" t="str">
        <f t="shared" ca="1" si="6"/>
        <v/>
      </c>
      <c r="S20" s="56" t="str">
        <f t="shared" si="7"/>
        <v/>
      </c>
      <c r="T20" t="str">
        <f t="shared" si="8"/>
        <v/>
      </c>
      <c r="U20" t="str">
        <f t="shared" ca="1" si="9"/>
        <v/>
      </c>
      <c r="V20" t="str">
        <f t="shared" si="10"/>
        <v/>
      </c>
      <c r="W20" s="57" t="str">
        <f t="shared" ca="1" si="11"/>
        <v/>
      </c>
      <c r="X20" s="60">
        <f t="shared" si="12"/>
        <v>22</v>
      </c>
      <c r="Y20" s="62" t="str">
        <f t="shared" ca="1" si="13"/>
        <v>Expenses</v>
      </c>
      <c r="Z20" s="64" t="str">
        <f t="shared" si="14"/>
        <v>Tracked</v>
      </c>
      <c r="AA20" s="64" t="str">
        <f t="shared" si="15"/>
        <v>Budget</v>
      </c>
      <c r="AB20" s="63" t="str">
        <f t="shared" si="16"/>
        <v>% Compl.</v>
      </c>
      <c r="AC20" s="64" t="str">
        <f t="shared" si="17"/>
        <v>Remaining</v>
      </c>
      <c r="AD20" s="62" t="str">
        <f t="shared" si="18"/>
        <v>Excess</v>
      </c>
      <c r="AF20" s="56"/>
      <c r="AI20" s="79" t="str">
        <f>Calculations!E39</f>
        <v/>
      </c>
      <c r="AJ20" s="80" t="str">
        <f>Calculations!F39</f>
        <v/>
      </c>
      <c r="AK20" s="57"/>
      <c r="AM20" s="56"/>
      <c r="AP20" s="79"/>
      <c r="AQ20" s="80"/>
      <c r="AR20" s="57"/>
    </row>
    <row r="21" spans="3:44" x14ac:dyDescent="0.35">
      <c r="C21" s="56" cm="1">
        <f t="array" ref="C21">IF(C20=-1,-1,
IF(C20&lt;income_max_row,C20+1,
IF(C20=income_max_row,income_total_row,
IF(C20=income_total_row,"/1",
IF(C20="/1",expenses_header_row,
IF(C20&lt;expenses_max_row,C20+1,
IF(C20=expenses_max_row,expenses_total_row,
IF(C20=expenses_total_row,"/2",
IF(C20="/2",savings_header_row,
IF(C20&lt;savings_max_row,C20+1,
IF(C20=savings_max_row,savings_total_row,-1)))))))))))</f>
        <v>23</v>
      </c>
      <c r="D21" s="57">
        <f t="shared" si="0"/>
        <v>22</v>
      </c>
      <c r="E21" s="56" cm="1">
        <f t="array" ref="E21">1*OR(row_id=income_header_row,row_id=expenses_header_row,row_id=savings_header_row)</f>
        <v>0</v>
      </c>
      <c r="F21">
        <f t="shared" si="1"/>
        <v>1</v>
      </c>
      <c r="G21" cm="1">
        <f t="array" ref="G21">1*OR(row_id=expenses_total_row,row_id=savings_total_row,row_id=income_total_row)</f>
        <v>0</v>
      </c>
      <c r="H21" s="57">
        <f t="shared" si="2"/>
        <v>0</v>
      </c>
      <c r="I21" s="56" t="str" cm="1">
        <f t="array" ref="I21">IFERROR(INDEX('Budget Planning'!$C:$C, header_row_id), "")</f>
        <v>Expenses</v>
      </c>
      <c r="J21" t="str" cm="1">
        <f t="array" ref="J21">IFERROR(INDEX('Budget Planning'!$C:$C, row_id), "")</f>
        <v>Housing</v>
      </c>
      <c r="K21" s="58" cm="1">
        <f t="array" ref="K21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17400</v>
      </c>
      <c r="L21" s="57" cm="1">
        <f t="array" ref="L21">IF(OR(is_empty,is_header), "",
  INDEX('Budget Planning'!$E:$AS, row_id,
    MATCH(IF(selected_period="Total Year", selected_year, DATE(selected_year, selected_period, 1)),'Budget Planning'!$E$9:$AS$9,0) ))</f>
        <v>50400</v>
      </c>
      <c r="M21" s="56" cm="1">
        <f t="array" ref="M21">IF(is_cat,
   IF(header_row_id=income_header_row, MATCH(income_min_row,$C:$C,0),
    IF(header_row_id=expenses_header_row, MATCH(expenses_min_row,$C:$C,0),
     IF(header_row_id=savings_header_row, MATCH(savings_min_row,$C:$C,0), ""))), "")</f>
        <v>21</v>
      </c>
      <c r="N21" s="57" cm="1">
        <f t="array" ref="N21">IF(is_cat,
   IF(header_row_id=income_header_row, MATCH(income_max_row,$C:$C,0),
    IF(header_row_id=expenses_header_row, MATCH(expenses_max_row,$C:$C,0),
     IF(header_row_id=savings_header_row, MATCH(savings_max_row,$C:$C,0), ""))), "")</f>
        <v>26</v>
      </c>
      <c r="O21" s="56" t="str">
        <f t="shared" si="3"/>
        <v>$K$21:$K$26</v>
      </c>
      <c r="P21">
        <f t="shared" ca="1" si="4"/>
        <v>1</v>
      </c>
      <c r="Q21" t="str">
        <f t="shared" si="5"/>
        <v>$L$21:$L$26</v>
      </c>
      <c r="R21" s="57">
        <f t="shared" ca="1" si="6"/>
        <v>1</v>
      </c>
      <c r="S21" s="56">
        <f t="shared" ca="1" si="7"/>
        <v>11</v>
      </c>
      <c r="T21" t="str">
        <f t="shared" si="8"/>
        <v>$S$21:$S$26</v>
      </c>
      <c r="U21">
        <f t="shared" ca="1" si="9"/>
        <v>1</v>
      </c>
      <c r="V21" t="str">
        <f t="shared" si="10"/>
        <v>$U$21:$U$21</v>
      </c>
      <c r="W21" s="57">
        <f t="shared" ca="1" si="11"/>
        <v>1</v>
      </c>
      <c r="X21" s="60">
        <f t="shared" ca="1" si="12"/>
        <v>23</v>
      </c>
      <c r="Y21" s="62" t="str">
        <f t="shared" ca="1" si="13"/>
        <v>Housing</v>
      </c>
      <c r="Z21" s="64">
        <f t="shared" ca="1" si="14"/>
        <v>17400</v>
      </c>
      <c r="AA21" s="64">
        <f t="shared" ca="1" si="15"/>
        <v>50400</v>
      </c>
      <c r="AB21" s="63">
        <f t="shared" ca="1" si="16"/>
        <v>0.34523809523809523</v>
      </c>
      <c r="AC21" s="64">
        <f t="shared" ca="1" si="17"/>
        <v>33000</v>
      </c>
      <c r="AD21" s="62">
        <f t="shared" ca="1" si="18"/>
        <v>0</v>
      </c>
      <c r="AF21" s="56"/>
      <c r="AI21" s="79" t="str">
        <f ca="1">Calculations!E40</f>
        <v>Other</v>
      </c>
      <c r="AJ21" s="80">
        <f ca="1">Calculations!F40</f>
        <v>-7.2759576141834259E-12</v>
      </c>
      <c r="AK21" s="57"/>
      <c r="AM21" s="56"/>
      <c r="AP21" s="79"/>
      <c r="AQ21" s="87"/>
      <c r="AR21" s="57"/>
    </row>
    <row r="22" spans="3:44" x14ac:dyDescent="0.35">
      <c r="C22" s="56" cm="1">
        <f t="array" ref="C22">IF(C21=-1,-1,
IF(C21&lt;income_max_row,C21+1,
IF(C21=income_max_row,income_total_row,
IF(C21=income_total_row,"/1",
IF(C21="/1",expenses_header_row,
IF(C21&lt;expenses_max_row,C21+1,
IF(C21=expenses_max_row,expenses_total_row,
IF(C21=expenses_total_row,"/2",
IF(C21="/2",savings_header_row,
IF(C21&lt;savings_max_row,C21+1,
IF(C21=savings_max_row,savings_total_row,-1)))))))))))</f>
        <v>24</v>
      </c>
      <c r="D22" s="57">
        <f t="shared" si="0"/>
        <v>22</v>
      </c>
      <c r="E22" s="56" cm="1">
        <f t="array" ref="E22">1*OR(row_id=income_header_row,row_id=expenses_header_row,row_id=savings_header_row)</f>
        <v>0</v>
      </c>
      <c r="F22">
        <f t="shared" si="1"/>
        <v>1</v>
      </c>
      <c r="G22" cm="1">
        <f t="array" ref="G22">1*OR(row_id=expenses_total_row,row_id=savings_total_row,row_id=income_total_row)</f>
        <v>0</v>
      </c>
      <c r="H22" s="57">
        <f t="shared" si="2"/>
        <v>0</v>
      </c>
      <c r="I22" s="56" t="str" cm="1">
        <f t="array" ref="I22">IFERROR(INDEX('Budget Planning'!$C:$C, header_row_id), "")</f>
        <v>Expenses</v>
      </c>
      <c r="J22" t="str" cm="1">
        <f t="array" ref="J22">IFERROR(INDEX('Budget Planning'!$C:$C, row_id), "")</f>
        <v>Groceries</v>
      </c>
      <c r="K22" s="58" cm="1">
        <f t="array" ref="K22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7300</v>
      </c>
      <c r="L22" s="57" cm="1">
        <f t="array" ref="L22">IF(OR(is_empty,is_header), "",
  INDEX('Budget Planning'!$E:$AS, row_id,
    MATCH(IF(selected_period="Total Year", selected_year, DATE(selected_year, selected_period, 1)),'Budget Planning'!$E$9:$AS$9,0) ))</f>
        <v>18550</v>
      </c>
      <c r="M22" s="56" cm="1">
        <f t="array" ref="M22">IF(is_cat,
   IF(header_row_id=income_header_row, MATCH(income_min_row,$C:$C,0),
    IF(header_row_id=expenses_header_row, MATCH(expenses_min_row,$C:$C,0),
     IF(header_row_id=savings_header_row, MATCH(savings_min_row,$C:$C,0), ""))), "")</f>
        <v>21</v>
      </c>
      <c r="N22" s="57" cm="1">
        <f t="array" ref="N22">IF(is_cat,
   IF(header_row_id=income_header_row, MATCH(income_max_row,$C:$C,0),
    IF(header_row_id=expenses_header_row, MATCH(expenses_max_row,$C:$C,0),
     IF(header_row_id=savings_header_row, MATCH(savings_max_row,$C:$C,0), ""))), "")</f>
        <v>26</v>
      </c>
      <c r="O22" s="56" t="str">
        <f t="shared" si="3"/>
        <v>$K$21:$K$26</v>
      </c>
      <c r="P22">
        <f t="shared" ca="1" si="4"/>
        <v>2</v>
      </c>
      <c r="Q22" t="str">
        <f t="shared" si="5"/>
        <v>$L$21:$L$26</v>
      </c>
      <c r="R22" s="57">
        <f t="shared" ca="1" si="6"/>
        <v>2</v>
      </c>
      <c r="S22" s="56">
        <f t="shared" ca="1" si="7"/>
        <v>22</v>
      </c>
      <c r="T22" t="str">
        <f t="shared" si="8"/>
        <v>$S$21:$S$26</v>
      </c>
      <c r="U22">
        <f t="shared" ca="1" si="9"/>
        <v>2</v>
      </c>
      <c r="V22" t="str">
        <f t="shared" si="10"/>
        <v>$U$21:$U$22</v>
      </c>
      <c r="W22" s="57">
        <f t="shared" ca="1" si="11"/>
        <v>2</v>
      </c>
      <c r="X22" s="60">
        <f t="shared" ca="1" si="12"/>
        <v>24</v>
      </c>
      <c r="Y22" s="62" t="str">
        <f t="shared" ca="1" si="13"/>
        <v>Groceries</v>
      </c>
      <c r="Z22" s="64">
        <f t="shared" ca="1" si="14"/>
        <v>7300</v>
      </c>
      <c r="AA22" s="64">
        <f t="shared" ca="1" si="15"/>
        <v>18550</v>
      </c>
      <c r="AB22" s="63">
        <f t="shared" ca="1" si="16"/>
        <v>0.39353099730458219</v>
      </c>
      <c r="AC22" s="64">
        <f t="shared" ca="1" si="17"/>
        <v>11250</v>
      </c>
      <c r="AD22" s="62">
        <f t="shared" ca="1" si="18"/>
        <v>0</v>
      </c>
      <c r="AF22" s="56"/>
      <c r="AI22" s="81" t="str">
        <f>Calculations!E41</f>
        <v>Total</v>
      </c>
      <c r="AJ22" s="82">
        <f ca="1">Calculations!F41</f>
        <v>61081.149999999994</v>
      </c>
      <c r="AK22" s="57"/>
      <c r="AM22" s="56"/>
      <c r="AP22" s="85"/>
      <c r="AQ22" s="86"/>
      <c r="AR22" s="57"/>
    </row>
    <row r="23" spans="3:44" x14ac:dyDescent="0.35">
      <c r="C23" s="56" cm="1">
        <f t="array" ref="C23">IF(C22=-1,-1,
IF(C22&lt;income_max_row,C22+1,
IF(C22=income_max_row,income_total_row,
IF(C22=income_total_row,"/1",
IF(C22="/1",expenses_header_row,
IF(C22&lt;expenses_max_row,C22+1,
IF(C22=expenses_max_row,expenses_total_row,
IF(C22=expenses_total_row,"/2",
IF(C22="/2",savings_header_row,
IF(C22&lt;savings_max_row,C22+1,
IF(C22=savings_max_row,savings_total_row,-1)))))))))))</f>
        <v>25</v>
      </c>
      <c r="D23" s="57">
        <f t="shared" si="0"/>
        <v>22</v>
      </c>
      <c r="E23" s="56" cm="1">
        <f t="array" ref="E23">1*OR(row_id=income_header_row,row_id=expenses_header_row,row_id=savings_header_row)</f>
        <v>0</v>
      </c>
      <c r="F23">
        <f t="shared" si="1"/>
        <v>1</v>
      </c>
      <c r="G23" cm="1">
        <f t="array" ref="G23">1*OR(row_id=expenses_total_row,row_id=savings_total_row,row_id=income_total_row)</f>
        <v>0</v>
      </c>
      <c r="H23" s="57">
        <f t="shared" si="2"/>
        <v>0</v>
      </c>
      <c r="I23" s="56" t="str" cm="1">
        <f t="array" ref="I23">IFERROR(INDEX('Budget Planning'!$C:$C, header_row_id), "")</f>
        <v>Expenses</v>
      </c>
      <c r="J23" t="str" cm="1">
        <f t="array" ref="J23">IFERROR(INDEX('Budget Planning'!$C:$C, row_id), "")</f>
        <v>Other</v>
      </c>
      <c r="K23" s="58" cm="1">
        <f t="array" ref="K23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1100</v>
      </c>
      <c r="L23" s="57" cm="1">
        <f t="array" ref="L23">IF(OR(is_empty,is_header), "",
  INDEX('Budget Planning'!$E:$AS, row_id,
    MATCH(IF(selected_period="Total Year", selected_year, DATE(selected_year, selected_period, 1)),'Budget Planning'!$E$9:$AS$9,0) ))</f>
        <v>6000</v>
      </c>
      <c r="M23" s="56" cm="1">
        <f t="array" ref="M23">IF(is_cat,
   IF(header_row_id=income_header_row, MATCH(income_min_row,$C:$C,0),
    IF(header_row_id=expenses_header_row, MATCH(expenses_min_row,$C:$C,0),
     IF(header_row_id=savings_header_row, MATCH(savings_min_row,$C:$C,0), ""))), "")</f>
        <v>21</v>
      </c>
      <c r="N23" s="57" cm="1">
        <f t="array" ref="N23">IF(is_cat,
   IF(header_row_id=income_header_row, MATCH(income_max_row,$C:$C,0),
    IF(header_row_id=expenses_header_row, MATCH(expenses_max_row,$C:$C,0),
     IF(header_row_id=savings_header_row, MATCH(savings_max_row,$C:$C,0), ""))), "")</f>
        <v>26</v>
      </c>
      <c r="O23" s="56" t="str">
        <f t="shared" si="3"/>
        <v>$K$21:$K$26</v>
      </c>
      <c r="P23">
        <f t="shared" ca="1" si="4"/>
        <v>5</v>
      </c>
      <c r="Q23" t="str">
        <f t="shared" si="5"/>
        <v>$L$21:$L$26</v>
      </c>
      <c r="R23" s="57">
        <f t="shared" ca="1" si="6"/>
        <v>3</v>
      </c>
      <c r="S23" s="56">
        <f t="shared" ca="1" si="7"/>
        <v>53</v>
      </c>
      <c r="T23" t="str">
        <f t="shared" si="8"/>
        <v>$S$21:$S$26</v>
      </c>
      <c r="U23">
        <f t="shared" ca="1" si="9"/>
        <v>5</v>
      </c>
      <c r="V23" t="str">
        <f t="shared" si="10"/>
        <v>$U$21:$U$23</v>
      </c>
      <c r="W23" s="57">
        <f t="shared" ca="1" si="11"/>
        <v>5</v>
      </c>
      <c r="X23" s="60">
        <f t="shared" ca="1" si="12"/>
        <v>27</v>
      </c>
      <c r="Y23" s="62" t="str">
        <f t="shared" ca="1" si="13"/>
        <v>Technologies</v>
      </c>
      <c r="Z23" s="64">
        <f t="shared" ca="1" si="14"/>
        <v>2800</v>
      </c>
      <c r="AA23" s="64">
        <f t="shared" ca="1" si="15"/>
        <v>2550</v>
      </c>
      <c r="AB23" s="63">
        <f t="shared" ca="1" si="16"/>
        <v>1.0980392156862746</v>
      </c>
      <c r="AC23" s="64">
        <f t="shared" ca="1" si="17"/>
        <v>0</v>
      </c>
      <c r="AD23" s="62">
        <f t="shared" ca="1" si="18"/>
        <v>250</v>
      </c>
      <c r="AF23" s="56"/>
      <c r="AK23" s="57"/>
      <c r="AM23" s="56"/>
      <c r="AR23" s="57"/>
    </row>
    <row r="24" spans="3:44" x14ac:dyDescent="0.35">
      <c r="C24" s="56" cm="1">
        <f t="array" ref="C24">IF(C23=-1,-1,
IF(C23&lt;income_max_row,C23+1,
IF(C23=income_max_row,income_total_row,
IF(C23=income_total_row,"/1",
IF(C23="/1",expenses_header_row,
IF(C23&lt;expenses_max_row,C23+1,
IF(C23=expenses_max_row,expenses_total_row,
IF(C23=expenses_total_row,"/2",
IF(C23="/2",savings_header_row,
IF(C23&lt;savings_max_row,C23+1,
IF(C23=savings_max_row,savings_total_row,-1)))))))))))</f>
        <v>26</v>
      </c>
      <c r="D24" s="57">
        <f t="shared" si="0"/>
        <v>22</v>
      </c>
      <c r="E24" s="56" cm="1">
        <f t="array" ref="E24">1*OR(row_id=income_header_row,row_id=expenses_header_row,row_id=savings_header_row)</f>
        <v>0</v>
      </c>
      <c r="F24">
        <f t="shared" si="1"/>
        <v>1</v>
      </c>
      <c r="G24" cm="1">
        <f t="array" ref="G24">1*OR(row_id=expenses_total_row,row_id=savings_total_row,row_id=income_total_row)</f>
        <v>0</v>
      </c>
      <c r="H24" s="57">
        <f t="shared" si="2"/>
        <v>0</v>
      </c>
      <c r="I24" s="56" t="str" cm="1">
        <f t="array" ref="I24">IFERROR(INDEX('Budget Planning'!$C:$C, header_row_id), "")</f>
        <v>Expenses</v>
      </c>
      <c r="J24" t="str" cm="1">
        <f t="array" ref="J24">IFERROR(INDEX('Budget Planning'!$C:$C, row_id), "")</f>
        <v>Transport</v>
      </c>
      <c r="K24" s="58" cm="1">
        <f t="array" ref="K24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2800</v>
      </c>
      <c r="L24" s="57" cm="1">
        <f t="array" ref="L24">IF(OR(is_empty,is_header), "",
  INDEX('Budget Planning'!$E:$AS, row_id,
    MATCH(IF(selected_period="Total Year", selected_year, DATE(selected_year, selected_period, 1)),'Budget Planning'!$E$9:$AS$9,0) ))</f>
        <v>2350</v>
      </c>
      <c r="M24" s="56" cm="1">
        <f t="array" ref="M24">IF(is_cat,
   IF(header_row_id=income_header_row, MATCH(income_min_row,$C:$C,0),
    IF(header_row_id=expenses_header_row, MATCH(expenses_min_row,$C:$C,0),
     IF(header_row_id=savings_header_row, MATCH(savings_min_row,$C:$C,0), ""))), "")</f>
        <v>21</v>
      </c>
      <c r="N24" s="57" cm="1">
        <f t="array" ref="N24">IF(is_cat,
   IF(header_row_id=income_header_row, MATCH(income_max_row,$C:$C,0),
    IF(header_row_id=expenses_header_row, MATCH(expenses_max_row,$C:$C,0),
     IF(header_row_id=savings_header_row, MATCH(savings_max_row,$C:$C,0), ""))), "")</f>
        <v>26</v>
      </c>
      <c r="O24" s="56" t="str">
        <f t="shared" si="3"/>
        <v>$K$21:$K$26</v>
      </c>
      <c r="P24">
        <f t="shared" ca="1" si="4"/>
        <v>3</v>
      </c>
      <c r="Q24" t="str">
        <f t="shared" si="5"/>
        <v>$L$21:$L$26</v>
      </c>
      <c r="R24" s="57">
        <f t="shared" ca="1" si="6"/>
        <v>6</v>
      </c>
      <c r="S24" s="56">
        <f t="shared" ca="1" si="7"/>
        <v>36</v>
      </c>
      <c r="T24" t="str">
        <f t="shared" si="8"/>
        <v>$S$21:$S$26</v>
      </c>
      <c r="U24">
        <f t="shared" ca="1" si="9"/>
        <v>4</v>
      </c>
      <c r="V24" t="str">
        <f t="shared" si="10"/>
        <v>$U$21:$U$24</v>
      </c>
      <c r="W24" s="57">
        <f t="shared" ca="1" si="11"/>
        <v>4</v>
      </c>
      <c r="X24" s="60">
        <f t="shared" ca="1" si="12"/>
        <v>26</v>
      </c>
      <c r="Y24" s="62" t="str">
        <f t="shared" ca="1" si="13"/>
        <v>Transport</v>
      </c>
      <c r="Z24" s="64">
        <f t="shared" ca="1" si="14"/>
        <v>2800</v>
      </c>
      <c r="AA24" s="64">
        <f t="shared" ca="1" si="15"/>
        <v>2350</v>
      </c>
      <c r="AB24" s="63">
        <f t="shared" ca="1" si="16"/>
        <v>1.1914893617021276</v>
      </c>
      <c r="AC24" s="64">
        <f t="shared" ca="1" si="17"/>
        <v>0</v>
      </c>
      <c r="AD24" s="62">
        <f t="shared" ca="1" si="18"/>
        <v>450</v>
      </c>
      <c r="AF24" s="68"/>
      <c r="AG24" s="69"/>
      <c r="AH24" s="69"/>
      <c r="AI24" s="69"/>
      <c r="AJ24" s="69"/>
      <c r="AK24" s="70"/>
      <c r="AM24" s="68"/>
      <c r="AN24" s="69"/>
      <c r="AO24" s="69"/>
      <c r="AP24" s="69"/>
      <c r="AQ24" s="69"/>
      <c r="AR24" s="70"/>
    </row>
    <row r="25" spans="3:44" x14ac:dyDescent="0.35">
      <c r="C25" s="56" cm="1">
        <f t="array" ref="C25">IF(C24=-1,-1,
IF(C24&lt;income_max_row,C24+1,
IF(C24=income_max_row,income_total_row,
IF(C24=income_total_row,"/1",
IF(C24="/1",expenses_header_row,
IF(C24&lt;expenses_max_row,C24+1,
IF(C24=expenses_max_row,expenses_total_row,
IF(C24=expenses_total_row,"/2",
IF(C24="/2",savings_header_row,
IF(C24&lt;savings_max_row,C24+1,
IF(C24=savings_max_row,savings_total_row,-1)))))))))))</f>
        <v>27</v>
      </c>
      <c r="D25" s="57">
        <f t="shared" si="0"/>
        <v>22</v>
      </c>
      <c r="E25" s="56" cm="1">
        <f t="array" ref="E25">1*OR(row_id=income_header_row,row_id=expenses_header_row,row_id=savings_header_row)</f>
        <v>0</v>
      </c>
      <c r="F25">
        <f t="shared" si="1"/>
        <v>1</v>
      </c>
      <c r="G25" cm="1">
        <f t="array" ref="G25">1*OR(row_id=expenses_total_row,row_id=savings_total_row,row_id=income_total_row)</f>
        <v>0</v>
      </c>
      <c r="H25" s="57">
        <f t="shared" si="2"/>
        <v>0</v>
      </c>
      <c r="I25" s="56" t="str" cm="1">
        <f t="array" ref="I25">IFERROR(INDEX('Budget Planning'!$C:$C, header_row_id), "")</f>
        <v>Expenses</v>
      </c>
      <c r="J25" t="str" cm="1">
        <f t="array" ref="J25">IFERROR(INDEX('Budget Planning'!$C:$C, row_id), "")</f>
        <v>Studies</v>
      </c>
      <c r="K25" s="58" cm="1">
        <f t="array" ref="K25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949.99999999999989</v>
      </c>
      <c r="L25" s="57" cm="1">
        <f t="array" ref="L25">IF(OR(is_empty,is_header), "",
  INDEX('Budget Planning'!$E:$AS, row_id,
    MATCH(IF(selected_period="Total Year", selected_year, DATE(selected_year, selected_period, 1)),'Budget Planning'!$E$9:$AS$9,0) ))</f>
        <v>3500</v>
      </c>
      <c r="M25" s="56" cm="1">
        <f t="array" ref="M25">IF(is_cat,
   IF(header_row_id=income_header_row, MATCH(income_min_row,$C:$C,0),
    IF(header_row_id=expenses_header_row, MATCH(expenses_min_row,$C:$C,0),
     IF(header_row_id=savings_header_row, MATCH(savings_min_row,$C:$C,0), ""))), "")</f>
        <v>21</v>
      </c>
      <c r="N25" s="57" cm="1">
        <f t="array" ref="N25">IF(is_cat,
   IF(header_row_id=income_header_row, MATCH(income_max_row,$C:$C,0),
    IF(header_row_id=expenses_header_row, MATCH(expenses_max_row,$C:$C,0),
     IF(header_row_id=savings_header_row, MATCH(savings_max_row,$C:$C,0), ""))), "")</f>
        <v>26</v>
      </c>
      <c r="O25" s="56" t="str">
        <f t="shared" si="3"/>
        <v>$K$21:$K$26</v>
      </c>
      <c r="P25">
        <f t="shared" ca="1" si="4"/>
        <v>6</v>
      </c>
      <c r="Q25" t="str">
        <f t="shared" si="5"/>
        <v>$L$21:$L$26</v>
      </c>
      <c r="R25" s="57">
        <f t="shared" ca="1" si="6"/>
        <v>4</v>
      </c>
      <c r="S25" s="56">
        <f t="shared" ca="1" si="7"/>
        <v>64</v>
      </c>
      <c r="T25" t="str">
        <f t="shared" si="8"/>
        <v>$S$21:$S$26</v>
      </c>
      <c r="U25">
        <f t="shared" ca="1" si="9"/>
        <v>6</v>
      </c>
      <c r="V25" t="str">
        <f t="shared" si="10"/>
        <v>$U$21:$U$25</v>
      </c>
      <c r="W25" s="57">
        <f t="shared" ca="1" si="11"/>
        <v>6</v>
      </c>
      <c r="X25" s="60">
        <f t="shared" ca="1" si="12"/>
        <v>28</v>
      </c>
      <c r="Y25" s="62" t="str">
        <f t="shared" ca="1" si="13"/>
        <v>Other</v>
      </c>
      <c r="Z25" s="64">
        <f t="shared" ca="1" si="14"/>
        <v>1100</v>
      </c>
      <c r="AA25" s="64">
        <f t="shared" ca="1" si="15"/>
        <v>6000</v>
      </c>
      <c r="AB25" s="63">
        <f t="shared" ca="1" si="16"/>
        <v>0.18333333333333332</v>
      </c>
      <c r="AC25" s="64">
        <f t="shared" ca="1" si="17"/>
        <v>4900</v>
      </c>
      <c r="AD25" s="62">
        <f t="shared" ca="1" si="18"/>
        <v>0</v>
      </c>
    </row>
    <row r="26" spans="3:44" x14ac:dyDescent="0.35">
      <c r="C26" s="56" cm="1">
        <f t="array" ref="C26">IF(C25=-1,-1,
IF(C25&lt;income_max_row,C25+1,
IF(C25=income_max_row,income_total_row,
IF(C25=income_total_row,"/1",
IF(C25="/1",expenses_header_row,
IF(C25&lt;expenses_max_row,C25+1,
IF(C25=expenses_max_row,expenses_total_row,
IF(C25=expenses_total_row,"/2",
IF(C25="/2",savings_header_row,
IF(C25&lt;savings_max_row,C25+1,
IF(C25=savings_max_row,savings_total_row,-1)))))))))))</f>
        <v>28</v>
      </c>
      <c r="D26" s="57">
        <f t="shared" si="0"/>
        <v>22</v>
      </c>
      <c r="E26" s="56" cm="1">
        <f t="array" ref="E26">1*OR(row_id=income_header_row,row_id=expenses_header_row,row_id=savings_header_row)</f>
        <v>0</v>
      </c>
      <c r="F26">
        <f t="shared" si="1"/>
        <v>1</v>
      </c>
      <c r="G26" cm="1">
        <f t="array" ref="G26">1*OR(row_id=expenses_total_row,row_id=savings_total_row,row_id=income_total_row)</f>
        <v>0</v>
      </c>
      <c r="H26" s="57">
        <f t="shared" si="2"/>
        <v>0</v>
      </c>
      <c r="I26" s="56" t="str" cm="1">
        <f t="array" ref="I26">IFERROR(INDEX('Budget Planning'!$C:$C, header_row_id), "")</f>
        <v>Expenses</v>
      </c>
      <c r="J26" t="str" cm="1">
        <f t="array" ref="J26">IFERROR(INDEX('Budget Planning'!$C:$C, row_id), "")</f>
        <v>Technologies</v>
      </c>
      <c r="K26" s="58" cm="1">
        <f t="array" ref="K26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2800</v>
      </c>
      <c r="L26" s="57" cm="1">
        <f t="array" ref="L26">IF(OR(is_empty,is_header), "",
  INDEX('Budget Planning'!$E:$AS, row_id,
    MATCH(IF(selected_period="Total Year", selected_year, DATE(selected_year, selected_period, 1)),'Budget Planning'!$E$9:$AS$9,0) ))</f>
        <v>2550</v>
      </c>
      <c r="M26" s="56" cm="1">
        <f t="array" ref="M26">IF(is_cat,
   IF(header_row_id=income_header_row, MATCH(income_min_row,$C:$C,0),
    IF(header_row_id=expenses_header_row, MATCH(expenses_min_row,$C:$C,0),
     IF(header_row_id=savings_header_row, MATCH(savings_min_row,$C:$C,0), ""))), "")</f>
        <v>21</v>
      </c>
      <c r="N26" s="57" cm="1">
        <f t="array" ref="N26">IF(is_cat,
   IF(header_row_id=income_header_row, MATCH(income_max_row,$C:$C,0),
    IF(header_row_id=expenses_header_row, MATCH(expenses_max_row,$C:$C,0),
     IF(header_row_id=savings_header_row, MATCH(savings_max_row,$C:$C,0), ""))), "")</f>
        <v>26</v>
      </c>
      <c r="O26" s="56" t="str">
        <f t="shared" si="3"/>
        <v>$K$21:$K$26</v>
      </c>
      <c r="P26">
        <f t="shared" ca="1" si="4"/>
        <v>3</v>
      </c>
      <c r="Q26" t="str">
        <f t="shared" si="5"/>
        <v>$L$21:$L$26</v>
      </c>
      <c r="R26" s="57">
        <f t="shared" ca="1" si="6"/>
        <v>5</v>
      </c>
      <c r="S26" s="56">
        <f t="shared" ca="1" si="7"/>
        <v>35</v>
      </c>
      <c r="T26" t="str">
        <f t="shared" si="8"/>
        <v>$S$21:$S$26</v>
      </c>
      <c r="U26">
        <f t="shared" ca="1" si="9"/>
        <v>3</v>
      </c>
      <c r="V26" t="str">
        <f t="shared" si="10"/>
        <v>$U$21:$U$26</v>
      </c>
      <c r="W26" s="57">
        <f t="shared" ca="1" si="11"/>
        <v>3</v>
      </c>
      <c r="X26" s="60">
        <f t="shared" ca="1" si="12"/>
        <v>25</v>
      </c>
      <c r="Y26" s="62" t="str">
        <f t="shared" ca="1" si="13"/>
        <v>Studies</v>
      </c>
      <c r="Z26" s="64">
        <f t="shared" ca="1" si="14"/>
        <v>949.99999999999989</v>
      </c>
      <c r="AA26" s="64">
        <f t="shared" ca="1" si="15"/>
        <v>3500</v>
      </c>
      <c r="AB26" s="63">
        <f t="shared" ca="1" si="16"/>
        <v>0.27142857142857141</v>
      </c>
      <c r="AC26" s="64">
        <f t="shared" ca="1" si="17"/>
        <v>2550</v>
      </c>
      <c r="AD26" s="62">
        <f t="shared" ca="1" si="18"/>
        <v>0</v>
      </c>
      <c r="AF26" s="65"/>
      <c r="AG26" s="66"/>
      <c r="AH26" s="66"/>
      <c r="AI26" s="66"/>
      <c r="AJ26" s="66"/>
      <c r="AK26" s="67"/>
      <c r="AM26" s="65"/>
      <c r="AN26" s="66"/>
      <c r="AO26" s="66"/>
      <c r="AP26" s="66"/>
      <c r="AQ26" s="66"/>
      <c r="AR26" s="67"/>
    </row>
    <row r="27" spans="3:44" x14ac:dyDescent="0.35">
      <c r="C27" s="56" cm="1">
        <f t="array" ref="C27">IF(C26=-1,-1,
IF(C26&lt;income_max_row,C26+1,
IF(C26=income_max_row,income_total_row,
IF(C26=income_total_row,"/1",
IF(C26="/1",expenses_header_row,
IF(C26&lt;expenses_max_row,C26+1,
IF(C26=expenses_max_row,expenses_total_row,
IF(C26=expenses_total_row,"/2",
IF(C26="/2",savings_header_row,
IF(C26&lt;savings_max_row,C26+1,
IF(C26=savings_max_row,savings_total_row,-1)))))))))))</f>
        <v>30</v>
      </c>
      <c r="D27" s="57">
        <f t="shared" si="0"/>
        <v>22</v>
      </c>
      <c r="E27" s="56" cm="1">
        <f t="array" ref="E27">1*OR(row_id=income_header_row,row_id=expenses_header_row,row_id=savings_header_row)</f>
        <v>0</v>
      </c>
      <c r="F27">
        <f t="shared" si="1"/>
        <v>0</v>
      </c>
      <c r="G27" cm="1">
        <f t="array" ref="G27">1*OR(row_id=expenses_total_row,row_id=savings_total_row,row_id=income_total_row)</f>
        <v>1</v>
      </c>
      <c r="H27" s="57">
        <f t="shared" si="2"/>
        <v>0</v>
      </c>
      <c r="I27" s="56" t="str" cm="1">
        <f t="array" ref="I27">IFERROR(INDEX('Budget Planning'!$C:$C, header_row_id), "")</f>
        <v>Expenses</v>
      </c>
      <c r="J27" t="str" cm="1">
        <f t="array" ref="J27">IFERROR(INDEX('Budget Planning'!$C:$C, row_id), "")</f>
        <v>Total</v>
      </c>
      <c r="K27" s="58" cm="1">
        <f t="array" ref="K27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32350</v>
      </c>
      <c r="L27" s="57" cm="1">
        <f t="array" aca="1" ref="L27" ca="1">IF(OR(is_empty,is_header), "",
  INDEX('Budget Planning'!$E:$AS, row_id,
    MATCH(IF(selected_period="Total Year", selected_year, DATE(selected_year, selected_period, 1)),'Budget Planning'!$E$9:$AS$9,0) ))</f>
        <v>83350</v>
      </c>
      <c r="M27" s="56" t="str" cm="1">
        <f t="array" ref="M27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27" s="57" t="str" cm="1">
        <f t="array" ref="N27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27" s="56" t="str">
        <f t="shared" si="3"/>
        <v/>
      </c>
      <c r="P27" t="str">
        <f t="shared" ca="1" si="4"/>
        <v/>
      </c>
      <c r="Q27" t="str">
        <f t="shared" si="5"/>
        <v/>
      </c>
      <c r="R27" s="57" t="str">
        <f t="shared" ca="1" si="6"/>
        <v/>
      </c>
      <c r="S27" s="56" t="str">
        <f t="shared" si="7"/>
        <v/>
      </c>
      <c r="T27" t="str">
        <f t="shared" si="8"/>
        <v/>
      </c>
      <c r="U27" t="str">
        <f t="shared" ca="1" si="9"/>
        <v/>
      </c>
      <c r="V27" t="str">
        <f t="shared" si="10"/>
        <v/>
      </c>
      <c r="W27" s="57" t="str">
        <f t="shared" ca="1" si="11"/>
        <v/>
      </c>
      <c r="X27" s="60">
        <f t="shared" si="12"/>
        <v>30</v>
      </c>
      <c r="Y27" s="62" t="str">
        <f t="shared" ca="1" si="13"/>
        <v>Total</v>
      </c>
      <c r="Z27" s="64">
        <f t="shared" ca="1" si="14"/>
        <v>32350</v>
      </c>
      <c r="AA27" s="64">
        <f t="shared" ca="1" si="15"/>
        <v>83350</v>
      </c>
      <c r="AB27" s="63">
        <f t="shared" ca="1" si="16"/>
        <v>0.38812237552489504</v>
      </c>
      <c r="AC27" s="64">
        <f t="shared" ca="1" si="17"/>
        <v>51000</v>
      </c>
      <c r="AD27" s="62">
        <f t="shared" ca="1" si="18"/>
        <v>0</v>
      </c>
      <c r="AF27" s="56"/>
      <c r="AK27" s="57"/>
      <c r="AM27" s="56"/>
      <c r="AR27" s="57"/>
    </row>
    <row r="28" spans="3:44" x14ac:dyDescent="0.35">
      <c r="C28" s="56" t="str" cm="1">
        <f t="array" ref="C28">IF(C27=-1,-1,
IF(C27&lt;income_max_row,C27+1,
IF(C27=income_max_row,income_total_row,
IF(C27=income_total_row,"/1",
IF(C27="/1",expenses_header_row,
IF(C27&lt;expenses_max_row,C27+1,
IF(C27=expenses_max_row,expenses_total_row,
IF(C27=expenses_total_row,"/2",
IF(C27="/2",savings_header_row,
IF(C27&lt;savings_max_row,C27+1,
IF(C27=savings_max_row,savings_total_row,-1)))))))))))</f>
        <v>/2</v>
      </c>
      <c r="D28" s="57">
        <f t="shared" si="0"/>
        <v>-1</v>
      </c>
      <c r="E28" s="56" cm="1">
        <f t="array" ref="E28">1*OR(row_id=income_header_row,row_id=expenses_header_row,row_id=savings_header_row)</f>
        <v>0</v>
      </c>
      <c r="F28">
        <f t="shared" si="1"/>
        <v>0</v>
      </c>
      <c r="G28" cm="1">
        <f t="array" ref="G28">1*OR(row_id=expenses_total_row,row_id=savings_total_row,row_id=income_total_row)</f>
        <v>0</v>
      </c>
      <c r="H28" s="57">
        <f t="shared" si="2"/>
        <v>1</v>
      </c>
      <c r="I28" s="56" t="str" cm="1">
        <f t="array" ref="I28">IFERROR(INDEX('Budget Planning'!$C:$C, header_row_id), "")</f>
        <v/>
      </c>
      <c r="J28" t="str" cm="1">
        <f t="array" ref="J28">IFERROR(INDEX('Budget Planning'!$C:$C, row_id), "")</f>
        <v/>
      </c>
      <c r="K28" s="58" t="str" cm="1">
        <f t="array" ref="K28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28" s="57" t="str" cm="1">
        <f t="array" ref="L28">IF(OR(is_empty,is_header), "",
  INDEX('Budget Planning'!$E:$AS, row_id,
    MATCH(IF(selected_period="Total Year", selected_year, DATE(selected_year, selected_period, 1)),'Budget Planning'!$E$9:$AS$9,0) ))</f>
        <v/>
      </c>
      <c r="M28" s="56" t="str" cm="1">
        <f t="array" ref="M28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28" s="57" t="str" cm="1">
        <f t="array" ref="N28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28" s="56" t="str">
        <f t="shared" si="3"/>
        <v/>
      </c>
      <c r="P28" t="str">
        <f t="shared" ca="1" si="4"/>
        <v/>
      </c>
      <c r="Q28" t="str">
        <f t="shared" si="5"/>
        <v/>
      </c>
      <c r="R28" s="57" t="str">
        <f t="shared" ca="1" si="6"/>
        <v/>
      </c>
      <c r="S28" s="56" t="str">
        <f t="shared" si="7"/>
        <v/>
      </c>
      <c r="T28" t="str">
        <f t="shared" si="8"/>
        <v/>
      </c>
      <c r="U28" t="str">
        <f t="shared" ca="1" si="9"/>
        <v/>
      </c>
      <c r="V28" t="str">
        <f t="shared" si="10"/>
        <v/>
      </c>
      <c r="W28" s="57" t="str">
        <f t="shared" ca="1" si="11"/>
        <v/>
      </c>
      <c r="X28" s="60" t="str">
        <f t="shared" si="12"/>
        <v>/2</v>
      </c>
      <c r="Y28" s="62" t="str">
        <f t="shared" si="13"/>
        <v/>
      </c>
      <c r="Z28" s="64" t="str">
        <f t="shared" si="14"/>
        <v/>
      </c>
      <c r="AA28" s="64" t="str">
        <f t="shared" si="15"/>
        <v/>
      </c>
      <c r="AB28" s="63" t="str">
        <f t="shared" si="16"/>
        <v/>
      </c>
      <c r="AC28" s="64" t="str">
        <f t="shared" si="17"/>
        <v/>
      </c>
      <c r="AD28" s="62" t="str">
        <f t="shared" si="18"/>
        <v/>
      </c>
      <c r="AF28" s="56"/>
      <c r="AK28" s="57"/>
      <c r="AM28" s="56"/>
      <c r="AR28" s="57"/>
    </row>
    <row r="29" spans="3:44" x14ac:dyDescent="0.35">
      <c r="C29" s="56" cm="1">
        <f t="array" ref="C29">IF(C28=-1,-1,
IF(C28&lt;income_max_row,C28+1,
IF(C28=income_max_row,income_total_row,
IF(C28=income_total_row,"/1",
IF(C28="/1",expenses_header_row,
IF(C28&lt;expenses_max_row,C28+1,
IF(C28=expenses_max_row,expenses_total_row,
IF(C28=expenses_total_row,"/2",
IF(C28="/2",savings_header_row,
IF(C28&lt;savings_max_row,C28+1,
IF(C28=savings_max_row,savings_total_row,-1)))))))))))</f>
        <v>32</v>
      </c>
      <c r="D29" s="57">
        <f t="shared" si="0"/>
        <v>32</v>
      </c>
      <c r="E29" s="56" cm="1">
        <f t="array" ref="E29">1*OR(row_id=income_header_row,row_id=expenses_header_row,row_id=savings_header_row)</f>
        <v>1</v>
      </c>
      <c r="F29">
        <f t="shared" si="1"/>
        <v>0</v>
      </c>
      <c r="G29" cm="1">
        <f t="array" ref="G29">1*OR(row_id=expenses_total_row,row_id=savings_total_row,row_id=income_total_row)</f>
        <v>0</v>
      </c>
      <c r="H29" s="57">
        <f t="shared" si="2"/>
        <v>0</v>
      </c>
      <c r="I29" s="56" t="str" cm="1">
        <f t="array" ref="I29">IFERROR(INDEX('Budget Planning'!$C:$C, header_row_id), "")</f>
        <v>Savings</v>
      </c>
      <c r="J29" t="str" cm="1">
        <f t="array" ref="J29">IFERROR(INDEX('Budget Planning'!$C:$C, row_id), "")</f>
        <v>Savings</v>
      </c>
      <c r="K29" s="58" t="str" cm="1">
        <f t="array" ref="K29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29" s="57" t="str" cm="1">
        <f t="array" ref="L29">IF(OR(is_empty,is_header), "",
  INDEX('Budget Planning'!$E:$AS, row_id,
    MATCH(IF(selected_period="Total Year", selected_year, DATE(selected_year, selected_period, 1)),'Budget Planning'!$E$9:$AS$9,0) ))</f>
        <v/>
      </c>
      <c r="M29" s="56" t="str" cm="1">
        <f t="array" ref="M29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29" s="57" t="str" cm="1">
        <f t="array" ref="N29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29" s="56" t="str">
        <f t="shared" si="3"/>
        <v/>
      </c>
      <c r="P29" t="str">
        <f t="shared" ca="1" si="4"/>
        <v/>
      </c>
      <c r="Q29" t="str">
        <f t="shared" si="5"/>
        <v/>
      </c>
      <c r="R29" s="57" t="str">
        <f t="shared" ca="1" si="6"/>
        <v/>
      </c>
      <c r="S29" s="56" t="str">
        <f t="shared" si="7"/>
        <v/>
      </c>
      <c r="T29" t="str">
        <f t="shared" si="8"/>
        <v/>
      </c>
      <c r="U29" t="str">
        <f t="shared" ca="1" si="9"/>
        <v/>
      </c>
      <c r="V29" t="str">
        <f t="shared" si="10"/>
        <v/>
      </c>
      <c r="W29" s="57" t="str">
        <f t="shared" ca="1" si="11"/>
        <v/>
      </c>
      <c r="X29" s="60">
        <f t="shared" si="12"/>
        <v>32</v>
      </c>
      <c r="Y29" s="62" t="str">
        <f t="shared" ca="1" si="13"/>
        <v>Savings</v>
      </c>
      <c r="Z29" s="64" t="str">
        <f t="shared" si="14"/>
        <v>Tracked</v>
      </c>
      <c r="AA29" s="64" t="str">
        <f t="shared" si="15"/>
        <v>Budget</v>
      </c>
      <c r="AB29" s="63" t="str">
        <f t="shared" si="16"/>
        <v>% Compl.</v>
      </c>
      <c r="AC29" s="64" t="str">
        <f t="shared" si="17"/>
        <v>Remaining</v>
      </c>
      <c r="AD29" s="62" t="str">
        <f t="shared" si="18"/>
        <v>Excess</v>
      </c>
      <c r="AF29" s="56"/>
      <c r="AI29" s="79" t="str">
        <f ca="1">Calculations!I35</f>
        <v>Housing</v>
      </c>
      <c r="AJ29" s="83">
        <f ca="1">Calculations!J35</f>
        <v>17400</v>
      </c>
      <c r="AK29" s="57"/>
      <c r="AM29" s="56"/>
      <c r="AP29" s="79" t="str">
        <f ca="1">Calculations!M35</f>
        <v>Stock Portfolio</v>
      </c>
      <c r="AQ29" s="79">
        <f ca="1">Calculations!N35</f>
        <v>6100</v>
      </c>
      <c r="AR29" s="57"/>
    </row>
    <row r="30" spans="3:44" x14ac:dyDescent="0.35">
      <c r="C30" s="56" cm="1">
        <f t="array" ref="C30">IF(C29=-1,-1,
IF(C29&lt;income_max_row,C29+1,
IF(C29=income_max_row,income_total_row,
IF(C29=income_total_row,"/1",
IF(C29="/1",expenses_header_row,
IF(C29&lt;expenses_max_row,C29+1,
IF(C29=expenses_max_row,expenses_total_row,
IF(C29=expenses_total_row,"/2",
IF(C29="/2",savings_header_row,
IF(C29&lt;savings_max_row,C29+1,
IF(C29=savings_max_row,savings_total_row,-1)))))))))))</f>
        <v>33</v>
      </c>
      <c r="D30" s="57">
        <f t="shared" si="0"/>
        <v>32</v>
      </c>
      <c r="E30" s="56" cm="1">
        <f t="array" ref="E30">1*OR(row_id=income_header_row,row_id=expenses_header_row,row_id=savings_header_row)</f>
        <v>0</v>
      </c>
      <c r="F30">
        <f t="shared" si="1"/>
        <v>1</v>
      </c>
      <c r="G30" cm="1">
        <f t="array" ref="G30">1*OR(row_id=expenses_total_row,row_id=savings_total_row,row_id=income_total_row)</f>
        <v>0</v>
      </c>
      <c r="H30" s="57">
        <f t="shared" si="2"/>
        <v>0</v>
      </c>
      <c r="I30" s="56" t="str" cm="1">
        <f t="array" ref="I30">IFERROR(INDEX('Budget Planning'!$C:$C, header_row_id), "")</f>
        <v>Savings</v>
      </c>
      <c r="J30" t="str" cm="1">
        <f t="array" ref="J30">IFERROR(INDEX('Budget Planning'!$C:$C, row_id), "")</f>
        <v>Emergency Fund</v>
      </c>
      <c r="K30" s="58" cm="1">
        <f t="array" ref="K30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5200</v>
      </c>
      <c r="L30" s="57" cm="1">
        <f t="array" ref="L30">IF(OR(is_empty,is_header), "",
  INDEX('Budget Planning'!$E:$AS, row_id,
    MATCH(IF(selected_period="Total Year", selected_year, DATE(selected_year, selected_period, 1)),'Budget Planning'!$E$9:$AS$9,0) ))</f>
        <v>14400</v>
      </c>
      <c r="M30" s="56" cm="1">
        <f t="array" ref="M30">IF(is_cat,
   IF(header_row_id=income_header_row, MATCH(income_min_row,$C:$C,0),
    IF(header_row_id=expenses_header_row, MATCH(expenses_min_row,$C:$C,0),
     IF(header_row_id=savings_header_row, MATCH(savings_min_row,$C:$C,0), ""))), "")</f>
        <v>30</v>
      </c>
      <c r="N30" s="57" cm="1">
        <f t="array" ref="N30">IF(is_cat,
   IF(header_row_id=income_header_row, MATCH(income_max_row,$C:$C,0),
    IF(header_row_id=expenses_header_row, MATCH(expenses_max_row,$C:$C,0),
     IF(header_row_id=savings_header_row, MATCH(savings_max_row,$C:$C,0), ""))), "")</f>
        <v>33</v>
      </c>
      <c r="O30" s="56" t="str">
        <f t="shared" si="3"/>
        <v>$K$30:$K$33</v>
      </c>
      <c r="P30">
        <f t="shared" ca="1" si="4"/>
        <v>3</v>
      </c>
      <c r="Q30" t="str">
        <f t="shared" si="5"/>
        <v>$L$30:$L$33</v>
      </c>
      <c r="R30" s="57">
        <f t="shared" ca="1" si="6"/>
        <v>2</v>
      </c>
      <c r="S30" s="56">
        <f t="shared" ca="1" si="7"/>
        <v>32</v>
      </c>
      <c r="T30" t="str">
        <f t="shared" si="8"/>
        <v>$S$30:$S$33</v>
      </c>
      <c r="U30">
        <f t="shared" ca="1" si="9"/>
        <v>3</v>
      </c>
      <c r="V30" t="str">
        <f t="shared" si="10"/>
        <v>$U$30:$U$30</v>
      </c>
      <c r="W30" s="57">
        <f t="shared" ca="1" si="11"/>
        <v>3</v>
      </c>
      <c r="X30" s="60">
        <f t="shared" ca="1" si="12"/>
        <v>35</v>
      </c>
      <c r="Y30" s="62" t="str">
        <f t="shared" ca="1" si="13"/>
        <v>Stock Portfolio</v>
      </c>
      <c r="Z30" s="64">
        <f t="shared" ca="1" si="14"/>
        <v>6100</v>
      </c>
      <c r="AA30" s="64">
        <f t="shared" ca="1" si="15"/>
        <v>12100</v>
      </c>
      <c r="AB30" s="63">
        <f t="shared" ca="1" si="16"/>
        <v>0.50413223140495866</v>
      </c>
      <c r="AC30" s="64">
        <f ca="1">IF(is_empty, "", IF(is_header, "Remaining", IF(out_budget - out_tracked &gt; 0, out_budget - out_tracked, 0)))</f>
        <v>6000</v>
      </c>
      <c r="AD30" s="62">
        <f t="shared" ca="1" si="18"/>
        <v>0</v>
      </c>
      <c r="AF30" s="56"/>
      <c r="AI30" s="79" t="str">
        <f ca="1">Calculations!I36</f>
        <v>Groceries</v>
      </c>
      <c r="AJ30" s="83">
        <f ca="1">Calculations!J36</f>
        <v>7300</v>
      </c>
      <c r="AK30" s="57"/>
      <c r="AM30" s="56"/>
      <c r="AP30" s="79" t="str">
        <f ca="1">Calculations!M36</f>
        <v>Retirement Account</v>
      </c>
      <c r="AQ30" s="79">
        <f ca="1">Calculations!N36</f>
        <v>5849.91</v>
      </c>
      <c r="AR30" s="57"/>
    </row>
    <row r="31" spans="3:44" x14ac:dyDescent="0.35">
      <c r="C31" s="56" cm="1">
        <f t="array" ref="C31">IF(C30=-1,-1,
IF(C30&lt;income_max_row,C30+1,
IF(C30=income_max_row,income_total_row,
IF(C30=income_total_row,"/1",
IF(C30="/1",expenses_header_row,
IF(C30&lt;expenses_max_row,C30+1,
IF(C30=expenses_max_row,expenses_total_row,
IF(C30=expenses_total_row,"/2",
IF(C30="/2",savings_header_row,
IF(C30&lt;savings_max_row,C30+1,
IF(C30=savings_max_row,savings_total_row,-1)))))))))))</f>
        <v>34</v>
      </c>
      <c r="D31" s="57">
        <f t="shared" si="0"/>
        <v>32</v>
      </c>
      <c r="E31" s="56" cm="1">
        <f t="array" ref="E31">1*OR(row_id=income_header_row,row_id=expenses_header_row,row_id=savings_header_row)</f>
        <v>0</v>
      </c>
      <c r="F31">
        <f t="shared" si="1"/>
        <v>1</v>
      </c>
      <c r="G31" cm="1">
        <f t="array" ref="G31">1*OR(row_id=expenses_total_row,row_id=savings_total_row,row_id=income_total_row)</f>
        <v>0</v>
      </c>
      <c r="H31" s="57">
        <f t="shared" si="2"/>
        <v>0</v>
      </c>
      <c r="I31" s="56" t="str" cm="1">
        <f t="array" ref="I31">IFERROR(INDEX('Budget Planning'!$C:$C, header_row_id), "")</f>
        <v>Savings</v>
      </c>
      <c r="J31" t="str" cm="1">
        <f t="array" ref="J31">IFERROR(INDEX('Budget Planning'!$C:$C, row_id), "")</f>
        <v>Retirement Account</v>
      </c>
      <c r="K31" s="58" cm="1">
        <f t="array" ref="K31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5849.91</v>
      </c>
      <c r="L31" s="57" cm="1">
        <f t="array" ref="L31">IF(OR(is_empty,is_header), "",
  INDEX('Budget Planning'!$E:$AS, row_id,
    MATCH(IF(selected_period="Total Year", selected_year, DATE(selected_year, selected_period, 1)),'Budget Planning'!$E$9:$AS$9,0) ))</f>
        <v>16800</v>
      </c>
      <c r="M31" s="56" cm="1">
        <f t="array" ref="M31">IF(is_cat,
   IF(header_row_id=income_header_row, MATCH(income_min_row,$C:$C,0),
    IF(header_row_id=expenses_header_row, MATCH(expenses_min_row,$C:$C,0),
     IF(header_row_id=savings_header_row, MATCH(savings_min_row,$C:$C,0), ""))), "")</f>
        <v>30</v>
      </c>
      <c r="N31" s="57" cm="1">
        <f t="array" ref="N31">IF(is_cat,
   IF(header_row_id=income_header_row, MATCH(income_max_row,$C:$C,0),
    IF(header_row_id=expenses_header_row, MATCH(expenses_max_row,$C:$C,0),
     IF(header_row_id=savings_header_row, MATCH(savings_max_row,$C:$C,0), ""))), "")</f>
        <v>33</v>
      </c>
      <c r="O31" s="56" t="str">
        <f t="shared" si="3"/>
        <v>$K$30:$K$33</v>
      </c>
      <c r="P31">
        <f t="shared" ca="1" si="4"/>
        <v>2</v>
      </c>
      <c r="Q31" t="str">
        <f t="shared" si="5"/>
        <v>$L$30:$L$33</v>
      </c>
      <c r="R31" s="57">
        <f t="shared" ca="1" si="6"/>
        <v>1</v>
      </c>
      <c r="S31" s="56">
        <f t="shared" ca="1" si="7"/>
        <v>21</v>
      </c>
      <c r="T31" t="str">
        <f t="shared" si="8"/>
        <v>$S$30:$S$33</v>
      </c>
      <c r="U31">
        <f t="shared" ca="1" si="9"/>
        <v>2</v>
      </c>
      <c r="V31" t="str">
        <f t="shared" si="10"/>
        <v>$U$30:$U$31</v>
      </c>
      <c r="W31" s="57">
        <f t="shared" ca="1" si="11"/>
        <v>2</v>
      </c>
      <c r="X31" s="60">
        <f t="shared" ca="1" si="12"/>
        <v>34</v>
      </c>
      <c r="Y31" s="62" t="str">
        <f t="shared" ca="1" si="13"/>
        <v>Retirement Account</v>
      </c>
      <c r="Z31" s="64">
        <f t="shared" ca="1" si="14"/>
        <v>5849.91</v>
      </c>
      <c r="AA31" s="64">
        <f t="shared" ca="1" si="15"/>
        <v>16800</v>
      </c>
      <c r="AB31" s="63">
        <f t="shared" ca="1" si="16"/>
        <v>0.34820892857142854</v>
      </c>
      <c r="AC31" s="64">
        <f t="shared" ca="1" si="17"/>
        <v>10950.09</v>
      </c>
      <c r="AD31" s="62">
        <f t="shared" ca="1" si="18"/>
        <v>0</v>
      </c>
      <c r="AF31" s="56"/>
      <c r="AI31" s="79" t="str">
        <f ca="1">Calculations!I37</f>
        <v>Technologies</v>
      </c>
      <c r="AJ31" s="83">
        <f ca="1">Calculations!J37</f>
        <v>2800</v>
      </c>
      <c r="AK31" s="57"/>
      <c r="AM31" s="56"/>
      <c r="AP31" s="79" t="str">
        <f ca="1">Calculations!M37</f>
        <v>Emergency Fund</v>
      </c>
      <c r="AQ31" s="79">
        <f ca="1">Calculations!N37</f>
        <v>5200</v>
      </c>
      <c r="AR31" s="57"/>
    </row>
    <row r="32" spans="3:44" x14ac:dyDescent="0.35">
      <c r="C32" s="56" cm="1">
        <f t="array" ref="C32">IF(C31=-1,-1,
IF(C31&lt;income_max_row,C31+1,
IF(C31=income_max_row,income_total_row,
IF(C31=income_total_row,"/1",
IF(C31="/1",expenses_header_row,
IF(C31&lt;expenses_max_row,C31+1,
IF(C31=expenses_max_row,expenses_total_row,
IF(C31=expenses_total_row,"/2",
IF(C31="/2",savings_header_row,
IF(C31&lt;savings_max_row,C31+1,
IF(C31=savings_max_row,savings_total_row,-1)))))))))))</f>
        <v>35</v>
      </c>
      <c r="D32" s="57">
        <f t="shared" si="0"/>
        <v>32</v>
      </c>
      <c r="E32" s="56" cm="1">
        <f t="array" ref="E32">1*OR(row_id=income_header_row,row_id=expenses_header_row,row_id=savings_header_row)</f>
        <v>0</v>
      </c>
      <c r="F32">
        <f t="shared" si="1"/>
        <v>1</v>
      </c>
      <c r="G32" cm="1">
        <f t="array" ref="G32">1*OR(row_id=expenses_total_row,row_id=savings_total_row,row_id=income_total_row)</f>
        <v>0</v>
      </c>
      <c r="H32" s="57">
        <f t="shared" si="2"/>
        <v>0</v>
      </c>
      <c r="I32" s="56" t="str" cm="1">
        <f t="array" ref="I32">IFERROR(INDEX('Budget Planning'!$C:$C, header_row_id), "")</f>
        <v>Savings</v>
      </c>
      <c r="J32" t="str" cm="1">
        <f t="array" ref="J32">IFERROR(INDEX('Budget Planning'!$C:$C, row_id), "")</f>
        <v>Stock Portfolio</v>
      </c>
      <c r="K32" s="58" cm="1">
        <f t="array" ref="K32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6100</v>
      </c>
      <c r="L32" s="57" cm="1">
        <f t="array" ref="L32">IF(OR(is_empty,is_header), "",
  INDEX('Budget Planning'!$E:$AS, row_id,
    MATCH(IF(selected_period="Total Year", selected_year, DATE(selected_year, selected_period, 1)),'Budget Planning'!$E$9:$AS$9,0) ))</f>
        <v>12100</v>
      </c>
      <c r="M32" s="56" cm="1">
        <f t="array" ref="M32">IF(is_cat,
   IF(header_row_id=income_header_row, MATCH(income_min_row,$C:$C,0),
    IF(header_row_id=expenses_header_row, MATCH(expenses_min_row,$C:$C,0),
     IF(header_row_id=savings_header_row, MATCH(savings_min_row,$C:$C,0), ""))), "")</f>
        <v>30</v>
      </c>
      <c r="N32" s="57" cm="1">
        <f t="array" ref="N32">IF(is_cat,
   IF(header_row_id=income_header_row, MATCH(income_max_row,$C:$C,0),
    IF(header_row_id=expenses_header_row, MATCH(expenses_max_row,$C:$C,0),
     IF(header_row_id=savings_header_row, MATCH(savings_max_row,$C:$C,0), ""))), "")</f>
        <v>33</v>
      </c>
      <c r="O32" s="56" t="str">
        <f t="shared" si="3"/>
        <v>$K$30:$K$33</v>
      </c>
      <c r="P32">
        <f t="shared" ca="1" si="4"/>
        <v>1</v>
      </c>
      <c r="Q32" t="str">
        <f t="shared" si="5"/>
        <v>$L$30:$L$33</v>
      </c>
      <c r="R32" s="57">
        <f t="shared" ca="1" si="6"/>
        <v>3</v>
      </c>
      <c r="S32" s="56">
        <f t="shared" ca="1" si="7"/>
        <v>13</v>
      </c>
      <c r="T32" t="str">
        <f t="shared" si="8"/>
        <v>$S$30:$S$33</v>
      </c>
      <c r="U32">
        <f t="shared" ca="1" si="9"/>
        <v>1</v>
      </c>
      <c r="V32" t="str">
        <f t="shared" si="10"/>
        <v>$U$30:$U$32</v>
      </c>
      <c r="W32" s="57">
        <f t="shared" ca="1" si="11"/>
        <v>1</v>
      </c>
      <c r="X32" s="60">
        <f t="shared" ca="1" si="12"/>
        <v>33</v>
      </c>
      <c r="Y32" s="62" t="str">
        <f t="shared" ca="1" si="13"/>
        <v>Emergency Fund</v>
      </c>
      <c r="Z32" s="64">
        <f t="shared" ca="1" si="14"/>
        <v>5200</v>
      </c>
      <c r="AA32" s="64">
        <f t="shared" ca="1" si="15"/>
        <v>14400</v>
      </c>
      <c r="AB32" s="63">
        <f t="shared" ca="1" si="16"/>
        <v>0.3611111111111111</v>
      </c>
      <c r="AC32" s="64">
        <f t="shared" ca="1" si="17"/>
        <v>9200</v>
      </c>
      <c r="AD32" s="62">
        <f t="shared" ca="1" si="18"/>
        <v>0</v>
      </c>
      <c r="AF32" s="56"/>
      <c r="AI32" s="79" t="str">
        <f ca="1">Calculations!I38</f>
        <v>Transport</v>
      </c>
      <c r="AJ32" s="83">
        <f ca="1">Calculations!J38</f>
        <v>2800</v>
      </c>
      <c r="AK32" s="57"/>
      <c r="AM32" s="56"/>
      <c r="AP32" s="79" t="str">
        <f ca="1">Calculations!M38</f>
        <v>Other</v>
      </c>
      <c r="AQ32" s="79">
        <f ca="1">Calculations!N38</f>
        <v>850</v>
      </c>
      <c r="AR32" s="57"/>
    </row>
    <row r="33" spans="3:44" x14ac:dyDescent="0.35">
      <c r="C33" s="56" cm="1">
        <f t="array" ref="C33">IF(C32=-1,-1,
IF(C32&lt;income_max_row,C32+1,
IF(C32=income_max_row,income_total_row,
IF(C32=income_total_row,"/1",
IF(C32="/1",expenses_header_row,
IF(C32&lt;expenses_max_row,C32+1,
IF(C32=expenses_max_row,expenses_total_row,
IF(C32=expenses_total_row,"/2",
IF(C32="/2",savings_header_row,
IF(C32&lt;savings_max_row,C32+1,
IF(C32=savings_max_row,savings_total_row,-1)))))))))))</f>
        <v>36</v>
      </c>
      <c r="D33" s="57">
        <f t="shared" si="0"/>
        <v>32</v>
      </c>
      <c r="E33" s="56" cm="1">
        <f t="array" ref="E33">1*OR(row_id=income_header_row,row_id=expenses_header_row,row_id=savings_header_row)</f>
        <v>0</v>
      </c>
      <c r="F33">
        <f t="shared" si="1"/>
        <v>1</v>
      </c>
      <c r="G33" cm="1">
        <f t="array" ref="G33">1*OR(row_id=expenses_total_row,row_id=savings_total_row,row_id=income_total_row)</f>
        <v>0</v>
      </c>
      <c r="H33" s="57">
        <f t="shared" si="2"/>
        <v>0</v>
      </c>
      <c r="I33" s="56" t="str" cm="1">
        <f t="array" ref="I33">IFERROR(INDEX('Budget Planning'!$C:$C, header_row_id), "")</f>
        <v>Savings</v>
      </c>
      <c r="J33" t="str" cm="1">
        <f t="array" ref="J33">IFERROR(INDEX('Budget Planning'!$C:$C, row_id), "")</f>
        <v>Other</v>
      </c>
      <c r="K33" s="58" cm="1">
        <f t="array" ref="K33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850</v>
      </c>
      <c r="L33" s="57" cm="1">
        <f t="array" ref="L33">IF(OR(is_empty,is_header), "",
  INDEX('Budget Planning'!$E:$AS, row_id,
    MATCH(IF(selected_period="Total Year", selected_year, DATE(selected_year, selected_period, 1)),'Budget Planning'!$E$9:$AS$9,0) ))</f>
        <v>2300</v>
      </c>
      <c r="M33" s="56" cm="1">
        <f t="array" ref="M33">IF(is_cat,
   IF(header_row_id=income_header_row, MATCH(income_min_row,$C:$C,0),
    IF(header_row_id=expenses_header_row, MATCH(expenses_min_row,$C:$C,0),
     IF(header_row_id=savings_header_row, MATCH(savings_min_row,$C:$C,0), ""))), "")</f>
        <v>30</v>
      </c>
      <c r="N33" s="57" cm="1">
        <f t="array" ref="N33">IF(is_cat,
   IF(header_row_id=income_header_row, MATCH(income_max_row,$C:$C,0),
    IF(header_row_id=expenses_header_row, MATCH(expenses_max_row,$C:$C,0),
     IF(header_row_id=savings_header_row, MATCH(savings_max_row,$C:$C,0), ""))), "")</f>
        <v>33</v>
      </c>
      <c r="O33" s="56" t="str">
        <f t="shared" si="3"/>
        <v>$K$30:$K$33</v>
      </c>
      <c r="P33">
        <f t="shared" ca="1" si="4"/>
        <v>4</v>
      </c>
      <c r="Q33" t="str">
        <f t="shared" si="5"/>
        <v>$L$30:$L$33</v>
      </c>
      <c r="R33" s="57">
        <f t="shared" ca="1" si="6"/>
        <v>4</v>
      </c>
      <c r="S33" s="56">
        <f t="shared" ca="1" si="7"/>
        <v>44</v>
      </c>
      <c r="T33" t="str">
        <f t="shared" si="8"/>
        <v>$S$30:$S$33</v>
      </c>
      <c r="U33">
        <f t="shared" ca="1" si="9"/>
        <v>4</v>
      </c>
      <c r="V33" t="str">
        <f t="shared" si="10"/>
        <v>$U$30:$U$33</v>
      </c>
      <c r="W33" s="57">
        <f t="shared" ca="1" si="11"/>
        <v>4</v>
      </c>
      <c r="X33" s="60">
        <f t="shared" ca="1" si="12"/>
        <v>36</v>
      </c>
      <c r="Y33" t="str">
        <f t="shared" ca="1" si="13"/>
        <v>Other</v>
      </c>
      <c r="Z33" s="100">
        <f t="shared" ca="1" si="14"/>
        <v>850</v>
      </c>
      <c r="AA33" s="100">
        <f t="shared" ca="1" si="15"/>
        <v>2300</v>
      </c>
      <c r="AB33" s="101">
        <f t="shared" ca="1" si="16"/>
        <v>0.36956521739130432</v>
      </c>
      <c r="AC33" s="100">
        <f t="shared" ca="1" si="17"/>
        <v>1450</v>
      </c>
      <c r="AD33" s="62">
        <f t="shared" ca="1" si="18"/>
        <v>0</v>
      </c>
      <c r="AF33" s="56"/>
      <c r="AI33" s="79" t="str">
        <f ca="1">Calculations!I39</f>
        <v>Other</v>
      </c>
      <c r="AJ33" s="83">
        <f ca="1">Calculations!J39</f>
        <v>1100</v>
      </c>
      <c r="AK33" s="57"/>
      <c r="AM33" s="56"/>
      <c r="AP33" s="79" t="str">
        <f>Calculations!M39</f>
        <v/>
      </c>
      <c r="AQ33" s="79" t="str">
        <f>Calculations!N39</f>
        <v/>
      </c>
      <c r="AR33" s="57"/>
    </row>
    <row r="34" spans="3:44" x14ac:dyDescent="0.35">
      <c r="C34" s="56" cm="1">
        <f t="array" ref="C34">IF(C33=-1,-1,
IF(C33&lt;income_max_row,C33+1,
IF(C33=income_max_row,income_total_row,
IF(C33=income_total_row,"/1",
IF(C33="/1",expenses_header_row,
IF(C33&lt;expenses_max_row,C33+1,
IF(C33=expenses_max_row,expenses_total_row,
IF(C33=expenses_total_row,"/2",
IF(C33="/2",savings_header_row,
IF(C33&lt;savings_max_row,C33+1,
IF(C33=savings_max_row,savings_total_row,-1)))))))))))</f>
        <v>43</v>
      </c>
      <c r="D34" s="57">
        <f t="shared" si="0"/>
        <v>32</v>
      </c>
      <c r="E34" s="56" cm="1">
        <f t="array" ref="E34">1*OR(row_id=income_header_row,row_id=expenses_header_row,row_id=savings_header_row)</f>
        <v>0</v>
      </c>
      <c r="F34">
        <f t="shared" si="1"/>
        <v>0</v>
      </c>
      <c r="G34" cm="1">
        <f t="array" ref="G34">1*OR(row_id=expenses_total_row,row_id=savings_total_row,row_id=income_total_row)</f>
        <v>1</v>
      </c>
      <c r="H34" s="57">
        <f t="shared" si="2"/>
        <v>0</v>
      </c>
      <c r="I34" s="56" t="str" cm="1">
        <f t="array" ref="I34">IFERROR(INDEX('Budget Planning'!$C:$C, header_row_id), "")</f>
        <v>Savings</v>
      </c>
      <c r="J34" t="str" cm="1">
        <f t="array" ref="J34">IFERROR(INDEX('Budget Planning'!$C:$C, row_id), "")</f>
        <v>Total</v>
      </c>
      <c r="K34" s="58" cm="1">
        <f t="array" ref="K34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>17999.91</v>
      </c>
      <c r="L34" s="57" cm="1">
        <f t="array" aca="1" ref="L34" ca="1">IF(OR(is_empty,is_header), "",
  INDEX('Budget Planning'!$E:$AS, row_id,
    MATCH(IF(selected_period="Total Year", selected_year, DATE(selected_year, selected_period, 1)),'Budget Planning'!$E$9:$AS$9,0) ))</f>
        <v>45600</v>
      </c>
      <c r="M34" s="56" t="str" cm="1">
        <f t="array" ref="M34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34" s="57" t="str" cm="1">
        <f t="array" ref="N34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34" s="56" t="str">
        <f t="shared" si="3"/>
        <v/>
      </c>
      <c r="P34" t="str">
        <f t="shared" ca="1" si="4"/>
        <v/>
      </c>
      <c r="Q34" t="str">
        <f t="shared" si="5"/>
        <v/>
      </c>
      <c r="R34" s="57" t="str">
        <f t="shared" ca="1" si="6"/>
        <v/>
      </c>
      <c r="S34" s="56" t="str">
        <f t="shared" si="7"/>
        <v/>
      </c>
      <c r="T34" t="str">
        <f t="shared" si="8"/>
        <v/>
      </c>
      <c r="U34" t="str">
        <f t="shared" ca="1" si="9"/>
        <v/>
      </c>
      <c r="V34" t="str">
        <f t="shared" si="10"/>
        <v/>
      </c>
      <c r="W34" s="57" t="str">
        <f t="shared" ca="1" si="11"/>
        <v/>
      </c>
      <c r="X34" s="60">
        <f t="shared" si="12"/>
        <v>43</v>
      </c>
      <c r="Y34" t="str">
        <f t="shared" ca="1" si="13"/>
        <v>Total</v>
      </c>
      <c r="Z34" s="100">
        <f t="shared" ca="1" si="14"/>
        <v>17999.91</v>
      </c>
      <c r="AA34" s="100">
        <f t="shared" ca="1" si="15"/>
        <v>45600</v>
      </c>
      <c r="AB34" s="101">
        <f t="shared" ca="1" si="16"/>
        <v>0.39473486842105265</v>
      </c>
      <c r="AC34" s="100">
        <f t="shared" ca="1" si="17"/>
        <v>27600.09</v>
      </c>
      <c r="AD34" s="62">
        <f t="shared" ca="1" si="18"/>
        <v>0</v>
      </c>
      <c r="AF34" s="56"/>
      <c r="AI34" s="79" t="str">
        <f ca="1">Calculations!I40</f>
        <v>Other</v>
      </c>
      <c r="AJ34" s="83">
        <f ca="1">Calculations!J40</f>
        <v>950</v>
      </c>
      <c r="AK34" s="57"/>
      <c r="AM34" s="56"/>
      <c r="AP34" s="79" t="str">
        <f ca="1">Calculations!M40</f>
        <v/>
      </c>
      <c r="AQ34" s="79" t="str">
        <f ca="1">Calculations!N40</f>
        <v/>
      </c>
      <c r="AR34" s="57"/>
    </row>
    <row r="35" spans="3:44" x14ac:dyDescent="0.35">
      <c r="C35" s="56" cm="1">
        <f t="array" ref="C35">IF(C34=-1,-1,
IF(C34&lt;income_max_row,C34+1,
IF(C34=income_max_row,income_total_row,
IF(C34=income_total_row,"/1",
IF(C34="/1",expenses_header_row,
IF(C34&lt;expenses_max_row,C34+1,
IF(C34=expenses_max_row,expenses_total_row,
IF(C34=expenses_total_row,"/2",
IF(C34="/2",savings_header_row,
IF(C34&lt;savings_max_row,C34+1,
IF(C34=savings_max_row,savings_total_row,-1)))))))))))</f>
        <v>-1</v>
      </c>
      <c r="D35" s="57">
        <f t="shared" si="0"/>
        <v>-1</v>
      </c>
      <c r="E35" s="56" cm="1">
        <f t="array" ref="E35">1*OR(row_id=income_header_row,row_id=expenses_header_row,row_id=savings_header_row)</f>
        <v>0</v>
      </c>
      <c r="F35">
        <f t="shared" si="1"/>
        <v>0</v>
      </c>
      <c r="G35" cm="1">
        <f t="array" ref="G35">1*OR(row_id=expenses_total_row,row_id=savings_total_row,row_id=income_total_row)</f>
        <v>0</v>
      </c>
      <c r="H35" s="57">
        <f t="shared" si="2"/>
        <v>1</v>
      </c>
      <c r="I35" s="56" t="str" cm="1">
        <f t="array" ref="I35">IFERROR(INDEX('Budget Planning'!$C:$C, header_row_id), "")</f>
        <v/>
      </c>
      <c r="J35" t="str" cm="1">
        <f t="array" ref="J35">IFERROR(INDEX('Budget Planning'!$C:$C, row_id), "")</f>
        <v/>
      </c>
      <c r="K35" s="58" t="str" cm="1">
        <f t="array" ref="K35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35" s="57" t="str" cm="1">
        <f t="array" ref="L35">IF(OR(is_empty,is_header), "",
  INDEX('Budget Planning'!$E:$AS, row_id,
    MATCH(IF(selected_period="Total Year", selected_year, DATE(selected_year, selected_period, 1)),'Budget Planning'!$E$9:$AS$9,0) ))</f>
        <v/>
      </c>
      <c r="M35" s="56" t="str" cm="1">
        <f t="array" ref="M35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35" s="57" t="str" cm="1">
        <f t="array" ref="N35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35" s="56" t="str">
        <f t="shared" si="3"/>
        <v/>
      </c>
      <c r="P35" t="str">
        <f t="shared" ca="1" si="4"/>
        <v/>
      </c>
      <c r="Q35" t="str">
        <f t="shared" si="5"/>
        <v/>
      </c>
      <c r="R35" s="57" t="str">
        <f t="shared" ca="1" si="6"/>
        <v/>
      </c>
      <c r="S35" s="56" t="str">
        <f t="shared" si="7"/>
        <v/>
      </c>
      <c r="T35" t="str">
        <f t="shared" si="8"/>
        <v/>
      </c>
      <c r="U35" t="str">
        <f t="shared" ca="1" si="9"/>
        <v/>
      </c>
      <c r="V35" t="str">
        <f t="shared" si="10"/>
        <v/>
      </c>
      <c r="W35" s="57" t="str">
        <f t="shared" ca="1" si="11"/>
        <v/>
      </c>
      <c r="X35" s="60">
        <f t="shared" si="12"/>
        <v>-1</v>
      </c>
      <c r="Y35" t="str">
        <f t="shared" si="13"/>
        <v/>
      </c>
      <c r="Z35" s="100" t="str">
        <f t="shared" si="14"/>
        <v/>
      </c>
      <c r="AA35" s="100" t="str">
        <f t="shared" si="15"/>
        <v/>
      </c>
      <c r="AB35" s="101" t="str">
        <f t="shared" si="16"/>
        <v/>
      </c>
      <c r="AC35" s="100" t="str">
        <f t="shared" si="17"/>
        <v/>
      </c>
      <c r="AD35" t="str">
        <f>IF(is_empty, "", IF(is_header, "Savings", IF(out_budget - out_tracked &lt; 0, out_tracked - out_budget, 0)))</f>
        <v/>
      </c>
      <c r="AF35" s="56"/>
      <c r="AI35" s="81" t="str">
        <f>Calculations!I41</f>
        <v>Total</v>
      </c>
      <c r="AJ35" s="84">
        <f ca="1">Calculations!J41</f>
        <v>32350</v>
      </c>
      <c r="AK35" s="57"/>
      <c r="AM35" s="56"/>
      <c r="AP35" s="81" t="str">
        <f>Calculations!M41</f>
        <v>Total</v>
      </c>
      <c r="AQ35" s="81">
        <f ca="1">Calculations!N41</f>
        <v>17999.91</v>
      </c>
      <c r="AR35" s="57"/>
    </row>
    <row r="36" spans="3:44" x14ac:dyDescent="0.35">
      <c r="C36" s="56" cm="1">
        <f t="array" ref="C36">IF(C35=-1,-1,
IF(C35&lt;income_max_row,C35+1,
IF(C35=income_max_row,income_total_row,
IF(C35=income_total_row,"/1",
IF(C35="/1",expenses_header_row,
IF(C35&lt;expenses_max_row,C35+1,
IF(C35=expenses_max_row,expenses_total_row,
IF(C35=expenses_total_row,"/2",
IF(C35="/2",savings_header_row,
IF(C35&lt;savings_max_row,C35+1,
IF(C35=savings_max_row,savings_total_row,-1)))))))))))</f>
        <v>-1</v>
      </c>
      <c r="D36" s="57">
        <f t="shared" si="0"/>
        <v>-1</v>
      </c>
      <c r="E36" s="56" cm="1">
        <f t="array" ref="E36">1*OR(row_id=income_header_row,row_id=expenses_header_row,row_id=savings_header_row)</f>
        <v>0</v>
      </c>
      <c r="F36">
        <f t="shared" si="1"/>
        <v>0</v>
      </c>
      <c r="G36" cm="1">
        <f t="array" ref="G36">1*OR(row_id=expenses_total_row,row_id=savings_total_row,row_id=income_total_row)</f>
        <v>0</v>
      </c>
      <c r="H36" s="57">
        <f t="shared" si="2"/>
        <v>1</v>
      </c>
      <c r="I36" s="56" t="str" cm="1">
        <f t="array" ref="I36">IFERROR(INDEX('Budget Planning'!$C:$C, header_row_id), "")</f>
        <v/>
      </c>
      <c r="J36" t="str" cm="1">
        <f t="array" ref="J36">IFERROR(INDEX('Budget Planning'!$C:$C, row_id), "")</f>
        <v/>
      </c>
      <c r="K36" s="58" t="str" cm="1">
        <f t="array" ref="K36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36" s="57" t="str" cm="1">
        <f t="array" ref="L36">IF(OR(is_empty,is_header), "",
  INDEX('Budget Planning'!$E:$AS, row_id,
    MATCH(IF(selected_period="Total Year", selected_year, DATE(selected_year, selected_period, 1)),'Budget Planning'!$E$9:$AS$9,0) ))</f>
        <v/>
      </c>
      <c r="M36" s="56" t="str" cm="1">
        <f t="array" ref="M36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36" s="57" t="str" cm="1">
        <f t="array" ref="N36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36" s="56" t="str">
        <f t="shared" si="3"/>
        <v/>
      </c>
      <c r="P36" t="str">
        <f t="shared" ca="1" si="4"/>
        <v/>
      </c>
      <c r="Q36" t="str">
        <f t="shared" si="5"/>
        <v/>
      </c>
      <c r="R36" s="57" t="str">
        <f t="shared" ca="1" si="6"/>
        <v/>
      </c>
      <c r="S36" s="56" t="str">
        <f t="shared" si="7"/>
        <v/>
      </c>
      <c r="T36" t="str">
        <f t="shared" si="8"/>
        <v/>
      </c>
      <c r="U36" t="str">
        <f t="shared" ca="1" si="9"/>
        <v/>
      </c>
      <c r="V36" t="str">
        <f t="shared" si="10"/>
        <v/>
      </c>
      <c r="W36" s="57" t="str">
        <f t="shared" ca="1" si="11"/>
        <v/>
      </c>
      <c r="X36" s="60">
        <f t="shared" si="12"/>
        <v>-1</v>
      </c>
      <c r="Y36" t="str">
        <f t="shared" si="13"/>
        <v/>
      </c>
      <c r="Z36" s="40" t="str">
        <f t="shared" si="14"/>
        <v/>
      </c>
      <c r="AA36" s="40" t="str">
        <f t="shared" si="15"/>
        <v/>
      </c>
      <c r="AB36" s="61" t="str">
        <f t="shared" si="16"/>
        <v/>
      </c>
      <c r="AC36" s="40" t="str">
        <f t="shared" si="17"/>
        <v/>
      </c>
      <c r="AD36" t="str">
        <f>IF(is_empty, "", IF(is_header, "Savings", IF(out_budget - out_tracked &lt; 0, out_tracked - out_budget, 0)))</f>
        <v/>
      </c>
      <c r="AF36" s="56"/>
      <c r="AK36" s="57"/>
      <c r="AM36" s="56"/>
      <c r="AR36" s="57"/>
    </row>
    <row r="37" spans="3:44" x14ac:dyDescent="0.35">
      <c r="C37" s="56" cm="1">
        <f t="array" ref="C37">IF(C36=-1,-1,
IF(C36&lt;income_max_row,C36+1,
IF(C36=income_max_row,income_total_row,
IF(C36=income_total_row,"/1",
IF(C36="/1",expenses_header_row,
IF(C36&lt;expenses_max_row,C36+1,
IF(C36=expenses_max_row,expenses_total_row,
IF(C36=expenses_total_row,"/2",
IF(C36="/2",savings_header_row,
IF(C36&lt;savings_max_row,C36+1,
IF(C36=savings_max_row,savings_total_row,-1)))))))))))</f>
        <v>-1</v>
      </c>
      <c r="D37" s="57">
        <f t="shared" si="0"/>
        <v>-1</v>
      </c>
      <c r="E37" s="56" cm="1">
        <f t="array" ref="E37">1*OR(row_id=income_header_row,row_id=expenses_header_row,row_id=savings_header_row)</f>
        <v>0</v>
      </c>
      <c r="F37">
        <f t="shared" si="1"/>
        <v>0</v>
      </c>
      <c r="G37" cm="1">
        <f t="array" ref="G37">1*OR(row_id=expenses_total_row,row_id=savings_total_row,row_id=income_total_row)</f>
        <v>0</v>
      </c>
      <c r="H37" s="57">
        <f t="shared" si="2"/>
        <v>1</v>
      </c>
      <c r="I37" s="56" t="str" cm="1">
        <f t="array" ref="I37">IFERROR(INDEX('Budget Planning'!$C:$C, header_row_id), "")</f>
        <v/>
      </c>
      <c r="J37" t="str" cm="1">
        <f t="array" ref="J37">IFERROR(INDEX('Budget Planning'!$C:$C, row_id), "")</f>
        <v/>
      </c>
      <c r="K37" s="58" t="str" cm="1">
        <f t="array" ref="K37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37" s="57" t="str" cm="1">
        <f t="array" ref="L37">IF(OR(is_empty,is_header), "",
  INDEX('Budget Planning'!$E:$AS, row_id,
    MATCH(IF(selected_period="Total Year", selected_year, DATE(selected_year, selected_period, 1)),'Budget Planning'!$E$9:$AS$9,0) ))</f>
        <v/>
      </c>
      <c r="M37" s="56" t="str" cm="1">
        <f t="array" ref="M37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37" s="57" t="str" cm="1">
        <f t="array" ref="N37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37" s="56" t="str">
        <f t="shared" si="3"/>
        <v/>
      </c>
      <c r="P37" t="str">
        <f t="shared" ca="1" si="4"/>
        <v/>
      </c>
      <c r="Q37" t="str">
        <f t="shared" si="5"/>
        <v/>
      </c>
      <c r="R37" s="57" t="str">
        <f t="shared" ca="1" si="6"/>
        <v/>
      </c>
      <c r="S37" s="56" t="str">
        <f t="shared" si="7"/>
        <v/>
      </c>
      <c r="T37" t="str">
        <f t="shared" si="8"/>
        <v/>
      </c>
      <c r="U37" t="str">
        <f t="shared" ca="1" si="9"/>
        <v/>
      </c>
      <c r="V37" t="str">
        <f t="shared" si="10"/>
        <v/>
      </c>
      <c r="W37" s="57" t="str">
        <f t="shared" ca="1" si="11"/>
        <v/>
      </c>
      <c r="X37" s="60">
        <f t="shared" si="12"/>
        <v>-1</v>
      </c>
      <c r="Y37" t="str">
        <f t="shared" si="13"/>
        <v/>
      </c>
      <c r="Z37" s="40" t="str">
        <f t="shared" si="14"/>
        <v/>
      </c>
      <c r="AA37" s="40" t="str">
        <f t="shared" si="15"/>
        <v/>
      </c>
      <c r="AB37" s="61" t="str">
        <f t="shared" si="16"/>
        <v/>
      </c>
      <c r="AC37" s="40" t="str">
        <f t="shared" si="17"/>
        <v/>
      </c>
      <c r="AD37" t="str">
        <f t="shared" ref="AD37:AD50" si="19">IF(is_empty, "", INDEX($J:$J,MATCH(row_id, $X:$X, 0)))</f>
        <v/>
      </c>
      <c r="AF37" s="68"/>
      <c r="AG37" s="69"/>
      <c r="AH37" s="69"/>
      <c r="AI37" s="69"/>
      <c r="AJ37" s="69"/>
      <c r="AK37" s="70"/>
      <c r="AM37" s="68"/>
      <c r="AN37" s="69"/>
      <c r="AO37" s="69"/>
      <c r="AP37" s="69"/>
      <c r="AQ37" s="69"/>
      <c r="AR37" s="70"/>
    </row>
    <row r="38" spans="3:44" x14ac:dyDescent="0.35">
      <c r="C38" s="56" cm="1">
        <f t="array" ref="C38">IF(C37=-1,-1,
IF(C37&lt;income_max_row,C37+1,
IF(C37=income_max_row,income_total_row,
IF(C37=income_total_row,"/1",
IF(C37="/1",expenses_header_row,
IF(C37&lt;expenses_max_row,C37+1,
IF(C37=expenses_max_row,expenses_total_row,
IF(C37=expenses_total_row,"/2",
IF(C37="/2",savings_header_row,
IF(C37&lt;savings_max_row,C37+1,
IF(C37=savings_max_row,savings_total_row,-1)))))))))))</f>
        <v>-1</v>
      </c>
      <c r="D38" s="57">
        <f t="shared" si="0"/>
        <v>-1</v>
      </c>
      <c r="E38" s="56" cm="1">
        <f t="array" ref="E38">1*OR(row_id=income_header_row,row_id=expenses_header_row,row_id=savings_header_row)</f>
        <v>0</v>
      </c>
      <c r="F38">
        <f t="shared" si="1"/>
        <v>0</v>
      </c>
      <c r="G38" cm="1">
        <f t="array" ref="G38">1*OR(row_id=expenses_total_row,row_id=savings_total_row,row_id=income_total_row)</f>
        <v>0</v>
      </c>
      <c r="H38" s="57">
        <f t="shared" si="2"/>
        <v>1</v>
      </c>
      <c r="I38" s="56" t="str" cm="1">
        <f t="array" ref="I38">IFERROR(INDEX('Budget Planning'!$C:$C, header_row_id), "")</f>
        <v/>
      </c>
      <c r="J38" t="str" cm="1">
        <f t="array" ref="J38">IFERROR(INDEX('Budget Planning'!$C:$C, row_id), "")</f>
        <v/>
      </c>
      <c r="K38" s="58" t="str" cm="1">
        <f t="array" ref="K38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38" s="57" t="str" cm="1">
        <f t="array" ref="L38">IF(OR(is_empty,is_header), "",
  INDEX('Budget Planning'!$E:$AS, row_id,
    MATCH(IF(selected_period="Total Year", selected_year, DATE(selected_year, selected_period, 1)),'Budget Planning'!$E$9:$AS$9,0) ))</f>
        <v/>
      </c>
      <c r="M38" s="56" t="str" cm="1">
        <f t="array" ref="M38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38" s="57" t="str" cm="1">
        <f t="array" ref="N38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38" s="56" t="str">
        <f t="shared" si="3"/>
        <v/>
      </c>
      <c r="P38" t="str">
        <f t="shared" ca="1" si="4"/>
        <v/>
      </c>
      <c r="Q38" t="str">
        <f t="shared" si="5"/>
        <v/>
      </c>
      <c r="R38" s="57" t="str">
        <f t="shared" ca="1" si="6"/>
        <v/>
      </c>
      <c r="S38" s="56" t="str">
        <f t="shared" si="7"/>
        <v/>
      </c>
      <c r="T38" t="str">
        <f t="shared" si="8"/>
        <v/>
      </c>
      <c r="U38" t="str">
        <f t="shared" ca="1" si="9"/>
        <v/>
      </c>
      <c r="V38" t="str">
        <f t="shared" si="10"/>
        <v/>
      </c>
      <c r="W38" s="57" t="str">
        <f t="shared" ca="1" si="11"/>
        <v/>
      </c>
      <c r="X38" s="60">
        <f t="shared" si="12"/>
        <v>-1</v>
      </c>
      <c r="Y38" t="str">
        <f t="shared" si="13"/>
        <v/>
      </c>
      <c r="Z38" s="40" t="str">
        <f t="shared" si="14"/>
        <v/>
      </c>
      <c r="AA38" s="40" t="str">
        <f t="shared" si="15"/>
        <v/>
      </c>
      <c r="AB38" s="61" t="str">
        <f t="shared" si="16"/>
        <v/>
      </c>
      <c r="AC38" s="40" t="str">
        <f t="shared" si="17"/>
        <v/>
      </c>
      <c r="AD38" t="str">
        <f t="shared" si="19"/>
        <v/>
      </c>
    </row>
    <row r="39" spans="3:44" x14ac:dyDescent="0.35">
      <c r="C39" s="56" cm="1">
        <f t="array" ref="C39">IF(C38=-1,-1,
IF(C38&lt;income_max_row,C38+1,
IF(C38=income_max_row,income_total_row,
IF(C38=income_total_row,"/1",
IF(C38="/1",expenses_header_row,
IF(C38&lt;expenses_max_row,C38+1,
IF(C38=expenses_max_row,expenses_total_row,
IF(C38=expenses_total_row,"/2",
IF(C38="/2",savings_header_row,
IF(C38&lt;savings_max_row,C38+1,
IF(C38=savings_max_row,savings_total_row,-1)))))))))))</f>
        <v>-1</v>
      </c>
      <c r="D39" s="57">
        <f t="shared" si="0"/>
        <v>-1</v>
      </c>
      <c r="E39" s="56" cm="1">
        <f t="array" ref="E39">1*OR(row_id=income_header_row,row_id=expenses_header_row,row_id=savings_header_row)</f>
        <v>0</v>
      </c>
      <c r="F39">
        <f t="shared" si="1"/>
        <v>0</v>
      </c>
      <c r="G39" cm="1">
        <f t="array" ref="G39">1*OR(row_id=expenses_total_row,row_id=savings_total_row,row_id=income_total_row)</f>
        <v>0</v>
      </c>
      <c r="H39" s="57">
        <f t="shared" si="2"/>
        <v>1</v>
      </c>
      <c r="I39" s="56" t="str" cm="1">
        <f t="array" ref="I39">IFERROR(INDEX('Budget Planning'!$C:$C, header_row_id), "")</f>
        <v/>
      </c>
      <c r="J39" t="str" cm="1">
        <f t="array" ref="J39">IFERROR(INDEX('Budget Planning'!$C:$C, row_id), "")</f>
        <v/>
      </c>
      <c r="K39" s="58" t="str" cm="1">
        <f t="array" ref="K39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39" s="57" t="str" cm="1">
        <f t="array" ref="L39">IF(OR(is_empty,is_header), "",
  INDEX('Budget Planning'!$E:$AS, row_id,
    MATCH(IF(selected_period="Total Year", selected_year, DATE(selected_year, selected_period, 1)),'Budget Planning'!$E$9:$AS$9,0) ))</f>
        <v/>
      </c>
      <c r="M39" s="56" t="str" cm="1">
        <f t="array" ref="M39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39" s="57" t="str" cm="1">
        <f t="array" ref="N39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39" s="56" t="str">
        <f t="shared" si="3"/>
        <v/>
      </c>
      <c r="P39" t="str">
        <f t="shared" ca="1" si="4"/>
        <v/>
      </c>
      <c r="Q39" t="str">
        <f t="shared" si="5"/>
        <v/>
      </c>
      <c r="R39" s="57" t="str">
        <f t="shared" ca="1" si="6"/>
        <v/>
      </c>
      <c r="S39" s="56" t="str">
        <f t="shared" si="7"/>
        <v/>
      </c>
      <c r="T39" t="str">
        <f t="shared" si="8"/>
        <v/>
      </c>
      <c r="U39" t="str">
        <f t="shared" ca="1" si="9"/>
        <v/>
      </c>
      <c r="V39" t="str">
        <f t="shared" si="10"/>
        <v/>
      </c>
      <c r="W39" s="57" t="str">
        <f t="shared" ca="1" si="11"/>
        <v/>
      </c>
      <c r="X39" s="60">
        <f t="shared" si="12"/>
        <v>-1</v>
      </c>
      <c r="Y39" t="str">
        <f t="shared" si="13"/>
        <v/>
      </c>
      <c r="Z39" s="40" t="str">
        <f t="shared" si="14"/>
        <v/>
      </c>
      <c r="AA39" s="40" t="str">
        <f t="shared" si="15"/>
        <v/>
      </c>
      <c r="AB39" s="61" t="str">
        <f t="shared" si="16"/>
        <v/>
      </c>
      <c r="AC39" s="40" t="str">
        <f t="shared" si="17"/>
        <v/>
      </c>
      <c r="AD39" t="str">
        <f t="shared" si="19"/>
        <v/>
      </c>
    </row>
    <row r="40" spans="3:44" x14ac:dyDescent="0.35">
      <c r="C40" s="56" cm="1">
        <f t="array" ref="C40">IF(C39=-1,-1,
IF(C39&lt;income_max_row,C39+1,
IF(C39=income_max_row,income_total_row,
IF(C39=income_total_row,"/1",
IF(C39="/1",expenses_header_row,
IF(C39&lt;expenses_max_row,C39+1,
IF(C39=expenses_max_row,expenses_total_row,
IF(C39=expenses_total_row,"/2",
IF(C39="/2",savings_header_row,
IF(C39&lt;savings_max_row,C39+1,
IF(C39=savings_max_row,savings_total_row,-1)))))))))))</f>
        <v>-1</v>
      </c>
      <c r="D40" s="57">
        <f t="shared" si="0"/>
        <v>-1</v>
      </c>
      <c r="E40" s="56" cm="1">
        <f t="array" ref="E40">1*OR(row_id=income_header_row,row_id=expenses_header_row,row_id=savings_header_row)</f>
        <v>0</v>
      </c>
      <c r="F40">
        <f t="shared" si="1"/>
        <v>0</v>
      </c>
      <c r="G40" cm="1">
        <f t="array" ref="G40">1*OR(row_id=expenses_total_row,row_id=savings_total_row,row_id=income_total_row)</f>
        <v>0</v>
      </c>
      <c r="H40" s="57">
        <f t="shared" si="2"/>
        <v>1</v>
      </c>
      <c r="I40" s="56" t="str" cm="1">
        <f t="array" ref="I40">IFERROR(INDEX('Budget Planning'!$C:$C, header_row_id), "")</f>
        <v/>
      </c>
      <c r="J40" t="str" cm="1">
        <f t="array" ref="J40">IFERROR(INDEX('Budget Planning'!$C:$C, row_id), "")</f>
        <v/>
      </c>
      <c r="K40" s="58" t="str" cm="1">
        <f t="array" ref="K40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0" s="57" t="str" cm="1">
        <f t="array" ref="L40">IF(OR(is_empty,is_header), "",
  INDEX('Budget Planning'!$E:$AS, row_id,
    MATCH(IF(selected_period="Total Year", selected_year, DATE(selected_year, selected_period, 1)),'Budget Planning'!$E$9:$AS$9,0) ))</f>
        <v/>
      </c>
      <c r="M40" s="56" t="str" cm="1">
        <f t="array" ref="M40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0" s="57" t="str" cm="1">
        <f t="array" ref="N40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0" s="56" t="str">
        <f t="shared" si="3"/>
        <v/>
      </c>
      <c r="P40" t="str">
        <f t="shared" ca="1" si="4"/>
        <v/>
      </c>
      <c r="Q40" t="str">
        <f t="shared" si="5"/>
        <v/>
      </c>
      <c r="R40" s="57" t="str">
        <f t="shared" ca="1" si="6"/>
        <v/>
      </c>
      <c r="S40" s="56" t="str">
        <f t="shared" si="7"/>
        <v/>
      </c>
      <c r="T40" t="str">
        <f t="shared" si="8"/>
        <v/>
      </c>
      <c r="U40" t="str">
        <f t="shared" ca="1" si="9"/>
        <v/>
      </c>
      <c r="V40" t="str">
        <f t="shared" si="10"/>
        <v/>
      </c>
      <c r="W40" s="57" t="str">
        <f t="shared" ca="1" si="11"/>
        <v/>
      </c>
      <c r="X40" s="60">
        <f t="shared" si="12"/>
        <v>-1</v>
      </c>
      <c r="Y40" t="str">
        <f t="shared" si="13"/>
        <v/>
      </c>
      <c r="Z40" s="40" t="str">
        <f t="shared" si="14"/>
        <v/>
      </c>
      <c r="AA40" s="40" t="str">
        <f t="shared" si="15"/>
        <v/>
      </c>
      <c r="AB40" s="61" t="str">
        <f t="shared" si="16"/>
        <v/>
      </c>
      <c r="AC40" s="40" t="str">
        <f t="shared" si="17"/>
        <v/>
      </c>
      <c r="AD40" t="str">
        <f t="shared" si="19"/>
        <v/>
      </c>
    </row>
    <row r="41" spans="3:44" x14ac:dyDescent="0.35">
      <c r="C41" s="56" cm="1">
        <f t="array" ref="C41">IF(C40=-1,-1,
IF(C40&lt;income_max_row,C40+1,
IF(C40=income_max_row,income_total_row,
IF(C40=income_total_row,"/1",
IF(C40="/1",expenses_header_row,
IF(C40&lt;expenses_max_row,C40+1,
IF(C40=expenses_max_row,expenses_total_row,
IF(C40=expenses_total_row,"/2",
IF(C40="/2",savings_header_row,
IF(C40&lt;savings_max_row,C40+1,
IF(C40=savings_max_row,savings_total_row,-1)))))))))))</f>
        <v>-1</v>
      </c>
      <c r="D41" s="57">
        <f t="shared" si="0"/>
        <v>-1</v>
      </c>
      <c r="E41" s="56" cm="1">
        <f t="array" ref="E41">1*OR(row_id=income_header_row,row_id=expenses_header_row,row_id=savings_header_row)</f>
        <v>0</v>
      </c>
      <c r="F41">
        <f t="shared" si="1"/>
        <v>0</v>
      </c>
      <c r="G41" cm="1">
        <f t="array" ref="G41">1*OR(row_id=expenses_total_row,row_id=savings_total_row,row_id=income_total_row)</f>
        <v>0</v>
      </c>
      <c r="H41" s="57">
        <f t="shared" si="2"/>
        <v>1</v>
      </c>
      <c r="I41" s="56" t="str" cm="1">
        <f t="array" ref="I41">IFERROR(INDEX('Budget Planning'!$C:$C, header_row_id), "")</f>
        <v/>
      </c>
      <c r="J41" t="str" cm="1">
        <f t="array" ref="J41">IFERROR(INDEX('Budget Planning'!$C:$C, row_id), "")</f>
        <v/>
      </c>
      <c r="K41" s="58" t="str" cm="1">
        <f t="array" ref="K41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1" s="57" t="str" cm="1">
        <f t="array" ref="L41">IF(OR(is_empty,is_header), "",
  INDEX('Budget Planning'!$E:$AS, row_id,
    MATCH(IF(selected_period="Total Year", selected_year, DATE(selected_year, selected_period, 1)),'Budget Planning'!$E$9:$AS$9,0) ))</f>
        <v/>
      </c>
      <c r="M41" s="56" t="str" cm="1">
        <f t="array" ref="M41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1" s="57" t="str" cm="1">
        <f t="array" ref="N41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1" s="56" t="str">
        <f t="shared" si="3"/>
        <v/>
      </c>
      <c r="P41" t="str">
        <f t="shared" ca="1" si="4"/>
        <v/>
      </c>
      <c r="Q41" t="str">
        <f t="shared" si="5"/>
        <v/>
      </c>
      <c r="R41" s="57" t="str">
        <f t="shared" ca="1" si="6"/>
        <v/>
      </c>
      <c r="S41" s="56" t="str">
        <f t="shared" si="7"/>
        <v/>
      </c>
      <c r="T41" t="str">
        <f t="shared" si="8"/>
        <v/>
      </c>
      <c r="U41" t="str">
        <f t="shared" ca="1" si="9"/>
        <v/>
      </c>
      <c r="V41" t="str">
        <f t="shared" si="10"/>
        <v/>
      </c>
      <c r="W41" s="57" t="str">
        <f t="shared" ca="1" si="11"/>
        <v/>
      </c>
      <c r="X41" s="60">
        <f t="shared" si="12"/>
        <v>-1</v>
      </c>
      <c r="Y41" t="str">
        <f t="shared" si="13"/>
        <v/>
      </c>
      <c r="Z41" s="40" t="str">
        <f t="shared" si="14"/>
        <v/>
      </c>
      <c r="AA41" s="40" t="str">
        <f t="shared" si="15"/>
        <v/>
      </c>
      <c r="AB41" s="61" t="str">
        <f t="shared" si="16"/>
        <v/>
      </c>
      <c r="AC41" s="40" t="str">
        <f t="shared" si="17"/>
        <v/>
      </c>
      <c r="AD41" t="str">
        <f t="shared" si="19"/>
        <v/>
      </c>
    </row>
    <row r="42" spans="3:44" x14ac:dyDescent="0.35">
      <c r="C42" s="56" cm="1">
        <f t="array" ref="C42">IF(C41=-1,-1,
IF(C41&lt;income_max_row,C41+1,
IF(C41=income_max_row,income_total_row,
IF(C41=income_total_row,"/1",
IF(C41="/1",expenses_header_row,
IF(C41&lt;expenses_max_row,C41+1,
IF(C41=expenses_max_row,expenses_total_row,
IF(C41=expenses_total_row,"/2",
IF(C41="/2",savings_header_row,
IF(C41&lt;savings_max_row,C41+1,
IF(C41=savings_max_row,savings_total_row,-1)))))))))))</f>
        <v>-1</v>
      </c>
      <c r="D42" s="57">
        <f t="shared" si="0"/>
        <v>-1</v>
      </c>
      <c r="E42" s="56" cm="1">
        <f t="array" ref="E42">1*OR(row_id=income_header_row,row_id=expenses_header_row,row_id=savings_header_row)</f>
        <v>0</v>
      </c>
      <c r="F42">
        <f t="shared" si="1"/>
        <v>0</v>
      </c>
      <c r="G42" cm="1">
        <f t="array" ref="G42">1*OR(row_id=expenses_total_row,row_id=savings_total_row,row_id=income_total_row)</f>
        <v>0</v>
      </c>
      <c r="H42" s="57">
        <f t="shared" si="2"/>
        <v>1</v>
      </c>
      <c r="I42" s="56" t="str" cm="1">
        <f t="array" ref="I42">IFERROR(INDEX('Budget Planning'!$C:$C, header_row_id), "")</f>
        <v/>
      </c>
      <c r="J42" t="str" cm="1">
        <f t="array" ref="J42">IFERROR(INDEX('Budget Planning'!$C:$C, row_id), "")</f>
        <v/>
      </c>
      <c r="K42" s="58" t="str" cm="1">
        <f t="array" ref="K42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2" s="57" t="str" cm="1">
        <f t="array" ref="L42">IF(OR(is_empty,is_header), "",
  INDEX('Budget Planning'!$E:$AS, row_id,
    MATCH(IF(selected_period="Total Year", selected_year, DATE(selected_year, selected_period, 1)),'Budget Planning'!$E$9:$AS$9,0) ))</f>
        <v/>
      </c>
      <c r="M42" s="56" t="str" cm="1">
        <f t="array" ref="M42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2" s="57" t="str" cm="1">
        <f t="array" ref="N42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2" s="56" t="str">
        <f t="shared" si="3"/>
        <v/>
      </c>
      <c r="P42" t="str">
        <f t="shared" ca="1" si="4"/>
        <v/>
      </c>
      <c r="Q42" t="str">
        <f t="shared" si="5"/>
        <v/>
      </c>
      <c r="R42" s="57" t="str">
        <f t="shared" ca="1" si="6"/>
        <v/>
      </c>
      <c r="S42" s="56" t="str">
        <f t="shared" si="7"/>
        <v/>
      </c>
      <c r="T42" t="str">
        <f t="shared" si="8"/>
        <v/>
      </c>
      <c r="U42" t="str">
        <f t="shared" ca="1" si="9"/>
        <v/>
      </c>
      <c r="V42" t="str">
        <f t="shared" si="10"/>
        <v/>
      </c>
      <c r="W42" s="57" t="str">
        <f t="shared" ca="1" si="11"/>
        <v/>
      </c>
      <c r="X42" s="60">
        <f t="shared" si="12"/>
        <v>-1</v>
      </c>
      <c r="Y42" t="str">
        <f t="shared" si="13"/>
        <v/>
      </c>
      <c r="Z42" s="40" t="str">
        <f t="shared" si="14"/>
        <v/>
      </c>
      <c r="AA42" s="40" t="str">
        <f t="shared" si="15"/>
        <v/>
      </c>
      <c r="AB42" s="61" t="str">
        <f t="shared" si="16"/>
        <v/>
      </c>
      <c r="AC42" s="40" t="str">
        <f t="shared" si="17"/>
        <v/>
      </c>
      <c r="AD42" t="str">
        <f t="shared" si="19"/>
        <v/>
      </c>
      <c r="AI42" s="58"/>
    </row>
    <row r="43" spans="3:44" x14ac:dyDescent="0.35">
      <c r="C43" s="56" cm="1">
        <f t="array" ref="C43">IF(C42=-1,-1,
IF(C42&lt;income_max_row,C42+1,
IF(C42=income_max_row,income_total_row,
IF(C42=income_total_row,"/1",
IF(C42="/1",expenses_header_row,
IF(C42&lt;expenses_max_row,C42+1,
IF(C42=expenses_max_row,expenses_total_row,
IF(C42=expenses_total_row,"/2",
IF(C42="/2",savings_header_row,
IF(C42&lt;savings_max_row,C42+1,
IF(C42=savings_max_row,savings_total_row,-1)))))))))))</f>
        <v>-1</v>
      </c>
      <c r="D43" s="57">
        <f t="shared" si="0"/>
        <v>-1</v>
      </c>
      <c r="E43" s="56" cm="1">
        <f t="array" ref="E43">1*OR(row_id=income_header_row,row_id=expenses_header_row,row_id=savings_header_row)</f>
        <v>0</v>
      </c>
      <c r="F43">
        <f t="shared" si="1"/>
        <v>0</v>
      </c>
      <c r="G43" cm="1">
        <f t="array" ref="G43">1*OR(row_id=expenses_total_row,row_id=savings_total_row,row_id=income_total_row)</f>
        <v>0</v>
      </c>
      <c r="H43" s="57">
        <f t="shared" si="2"/>
        <v>1</v>
      </c>
      <c r="I43" s="56" t="str" cm="1">
        <f t="array" ref="I43">IFERROR(INDEX('Budget Planning'!$C:$C, header_row_id), "")</f>
        <v/>
      </c>
      <c r="J43" t="str" cm="1">
        <f t="array" ref="J43">IFERROR(INDEX('Budget Planning'!$C:$C, row_id), "")</f>
        <v/>
      </c>
      <c r="K43" s="58" t="str" cm="1">
        <f t="array" ref="K43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3" s="57" t="str" cm="1">
        <f t="array" ref="L43">IF(OR(is_empty,is_header), "",
  INDEX('Budget Planning'!$E:$AS, row_id,
    MATCH(IF(selected_period="Total Year", selected_year, DATE(selected_year, selected_period, 1)),'Budget Planning'!$E$9:$AS$9,0) ))</f>
        <v/>
      </c>
      <c r="M43" s="56" t="str" cm="1">
        <f t="array" ref="M43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3" s="57" t="str" cm="1">
        <f t="array" ref="N43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3" s="56" t="str">
        <f t="shared" si="3"/>
        <v/>
      </c>
      <c r="P43" t="str">
        <f t="shared" ca="1" si="4"/>
        <v/>
      </c>
      <c r="Q43" t="str">
        <f t="shared" si="5"/>
        <v/>
      </c>
      <c r="R43" s="57" t="str">
        <f t="shared" ca="1" si="6"/>
        <v/>
      </c>
      <c r="S43" s="56" t="str">
        <f t="shared" si="7"/>
        <v/>
      </c>
      <c r="T43" t="str">
        <f t="shared" si="8"/>
        <v/>
      </c>
      <c r="U43" t="str">
        <f t="shared" ca="1" si="9"/>
        <v/>
      </c>
      <c r="V43" t="str">
        <f t="shared" si="10"/>
        <v/>
      </c>
      <c r="W43" s="57" t="str">
        <f t="shared" ca="1" si="11"/>
        <v/>
      </c>
      <c r="X43" s="60">
        <f t="shared" si="12"/>
        <v>-1</v>
      </c>
      <c r="Y43" t="str">
        <f t="shared" si="13"/>
        <v/>
      </c>
      <c r="Z43" s="40" t="str">
        <f t="shared" si="14"/>
        <v/>
      </c>
      <c r="AA43" s="40" t="str">
        <f t="shared" si="15"/>
        <v/>
      </c>
      <c r="AB43" s="61" t="str">
        <f t="shared" si="16"/>
        <v/>
      </c>
      <c r="AC43" s="40" t="str">
        <f t="shared" si="17"/>
        <v/>
      </c>
      <c r="AD43" t="str">
        <f t="shared" si="19"/>
        <v/>
      </c>
    </row>
    <row r="44" spans="3:44" x14ac:dyDescent="0.35">
      <c r="C44" s="56" cm="1">
        <f t="array" ref="C44">IF(C43=-1,-1,
IF(C43&lt;income_max_row,C43+1,
IF(C43=income_max_row,income_total_row,
IF(C43=income_total_row,"/1",
IF(C43="/1",expenses_header_row,
IF(C43&lt;expenses_max_row,C43+1,
IF(C43=expenses_max_row,expenses_total_row,
IF(C43=expenses_total_row,"/2",
IF(C43="/2",savings_header_row,
IF(C43&lt;savings_max_row,C43+1,
IF(C43=savings_max_row,savings_total_row,-1)))))))))))</f>
        <v>-1</v>
      </c>
      <c r="D44" s="57">
        <f t="shared" si="0"/>
        <v>-1</v>
      </c>
      <c r="E44" s="56" cm="1">
        <f t="array" ref="E44">1*OR(row_id=income_header_row,row_id=expenses_header_row,row_id=savings_header_row)</f>
        <v>0</v>
      </c>
      <c r="F44">
        <f t="shared" si="1"/>
        <v>0</v>
      </c>
      <c r="G44" cm="1">
        <f t="array" ref="G44">1*OR(row_id=expenses_total_row,row_id=savings_total_row,row_id=income_total_row)</f>
        <v>0</v>
      </c>
      <c r="H44" s="57">
        <f t="shared" si="2"/>
        <v>1</v>
      </c>
      <c r="I44" s="56" t="str" cm="1">
        <f t="array" ref="I44">IFERROR(INDEX('Budget Planning'!$C:$C, header_row_id), "")</f>
        <v/>
      </c>
      <c r="J44" t="str" cm="1">
        <f t="array" ref="J44">IFERROR(INDEX('Budget Planning'!$C:$C, row_id), "")</f>
        <v/>
      </c>
      <c r="K44" s="58" t="str" cm="1">
        <f t="array" ref="K44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4" s="57" t="str" cm="1">
        <f t="array" ref="L44">IF(OR(is_empty,is_header), "",
  INDEX('Budget Planning'!$E:$AS, row_id,
    MATCH(IF(selected_period="Total Year", selected_year, DATE(selected_year, selected_period, 1)),'Budget Planning'!$E$9:$AS$9,0) ))</f>
        <v/>
      </c>
      <c r="M44" s="56" t="str" cm="1">
        <f t="array" ref="M44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4" s="57" t="str" cm="1">
        <f t="array" ref="N44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4" s="56" t="str">
        <f t="shared" si="3"/>
        <v/>
      </c>
      <c r="P44" t="str">
        <f t="shared" ca="1" si="4"/>
        <v/>
      </c>
      <c r="Q44" t="str">
        <f t="shared" si="5"/>
        <v/>
      </c>
      <c r="R44" s="57" t="str">
        <f t="shared" ca="1" si="6"/>
        <v/>
      </c>
      <c r="S44" s="56" t="str">
        <f t="shared" si="7"/>
        <v/>
      </c>
      <c r="T44" t="str">
        <f t="shared" si="8"/>
        <v/>
      </c>
      <c r="U44" t="str">
        <f t="shared" ca="1" si="9"/>
        <v/>
      </c>
      <c r="V44" t="str">
        <f t="shared" si="10"/>
        <v/>
      </c>
      <c r="W44" s="57" t="str">
        <f t="shared" ca="1" si="11"/>
        <v/>
      </c>
      <c r="X44" s="60">
        <f t="shared" si="12"/>
        <v>-1</v>
      </c>
      <c r="Y44" t="str">
        <f t="shared" si="13"/>
        <v/>
      </c>
      <c r="Z44" s="40" t="str">
        <f t="shared" si="14"/>
        <v/>
      </c>
      <c r="AA44" s="40" t="str">
        <f t="shared" si="15"/>
        <v/>
      </c>
      <c r="AB44" s="61" t="str">
        <f t="shared" si="16"/>
        <v/>
      </c>
      <c r="AC44" s="40" t="str">
        <f t="shared" si="17"/>
        <v/>
      </c>
      <c r="AD44" t="str">
        <f t="shared" si="19"/>
        <v/>
      </c>
    </row>
    <row r="45" spans="3:44" x14ac:dyDescent="0.35">
      <c r="C45" s="56" cm="1">
        <f t="array" ref="C45">IF(C44=-1,-1,
IF(C44&lt;income_max_row,C44+1,
IF(C44=income_max_row,income_total_row,
IF(C44=income_total_row,"/1",
IF(C44="/1",expenses_header_row,
IF(C44&lt;expenses_max_row,C44+1,
IF(C44=expenses_max_row,expenses_total_row,
IF(C44=expenses_total_row,"/2",
IF(C44="/2",savings_header_row,
IF(C44&lt;savings_max_row,C44+1,
IF(C44=savings_max_row,savings_total_row,-1)))))))))))</f>
        <v>-1</v>
      </c>
      <c r="D45" s="57">
        <f t="shared" si="0"/>
        <v>-1</v>
      </c>
      <c r="E45" s="56" cm="1">
        <f t="array" ref="E45">1*OR(row_id=income_header_row,row_id=expenses_header_row,row_id=savings_header_row)</f>
        <v>0</v>
      </c>
      <c r="F45">
        <f t="shared" si="1"/>
        <v>0</v>
      </c>
      <c r="G45" cm="1">
        <f t="array" ref="G45">1*OR(row_id=expenses_total_row,row_id=savings_total_row,row_id=income_total_row)</f>
        <v>0</v>
      </c>
      <c r="H45" s="57">
        <f t="shared" si="2"/>
        <v>1</v>
      </c>
      <c r="I45" s="56" t="str" cm="1">
        <f t="array" ref="I45">IFERROR(INDEX('Budget Planning'!$C:$C, header_row_id), "")</f>
        <v/>
      </c>
      <c r="J45" t="str" cm="1">
        <f t="array" ref="J45">IFERROR(INDEX('Budget Planning'!$C:$C, row_id), "")</f>
        <v/>
      </c>
      <c r="K45" s="58" t="str" cm="1">
        <f t="array" ref="K45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5" s="57" t="str" cm="1">
        <f t="array" ref="L45">IF(OR(is_empty,is_header), "",
  INDEX('Budget Planning'!$E:$AS, row_id,
    MATCH(IF(selected_period="Total Year", selected_year, DATE(selected_year, selected_period, 1)),'Budget Planning'!$E$9:$AS$9,0) ))</f>
        <v/>
      </c>
      <c r="M45" s="56" t="str" cm="1">
        <f t="array" ref="M45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5" s="57" t="str" cm="1">
        <f t="array" ref="N45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5" s="56" t="str">
        <f t="shared" si="3"/>
        <v/>
      </c>
      <c r="P45" t="str">
        <f t="shared" ca="1" si="4"/>
        <v/>
      </c>
      <c r="Q45" t="str">
        <f t="shared" si="5"/>
        <v/>
      </c>
      <c r="R45" s="57" t="str">
        <f t="shared" ca="1" si="6"/>
        <v/>
      </c>
      <c r="S45" s="56" t="str">
        <f t="shared" si="7"/>
        <v/>
      </c>
      <c r="T45" t="str">
        <f t="shared" si="8"/>
        <v/>
      </c>
      <c r="U45" t="str">
        <f t="shared" ca="1" si="9"/>
        <v/>
      </c>
      <c r="V45" t="str">
        <f t="shared" si="10"/>
        <v/>
      </c>
      <c r="W45" s="57" t="str">
        <f t="shared" ca="1" si="11"/>
        <v/>
      </c>
      <c r="X45" s="60">
        <f t="shared" si="12"/>
        <v>-1</v>
      </c>
      <c r="Y45" t="str">
        <f t="shared" si="13"/>
        <v/>
      </c>
      <c r="Z45" s="40" t="str">
        <f t="shared" si="14"/>
        <v/>
      </c>
      <c r="AA45" s="40" t="str">
        <f t="shared" si="15"/>
        <v/>
      </c>
      <c r="AB45" s="61" t="str">
        <f t="shared" si="16"/>
        <v/>
      </c>
      <c r="AC45" s="40" t="str">
        <f t="shared" si="17"/>
        <v/>
      </c>
      <c r="AD45" t="str">
        <f t="shared" si="19"/>
        <v/>
      </c>
    </row>
    <row r="46" spans="3:44" x14ac:dyDescent="0.35">
      <c r="C46" s="56" cm="1">
        <f t="array" ref="C46">IF(C45=-1,-1,
IF(C45&lt;income_max_row,C45+1,
IF(C45=income_max_row,income_total_row,
IF(C45=income_total_row,"/1",
IF(C45="/1",expenses_header_row,
IF(C45&lt;expenses_max_row,C45+1,
IF(C45=expenses_max_row,expenses_total_row,
IF(C45=expenses_total_row,"/2",
IF(C45="/2",savings_header_row,
IF(C45&lt;savings_max_row,C45+1,
IF(C45=savings_max_row,savings_total_row,-1)))))))))))</f>
        <v>-1</v>
      </c>
      <c r="D46" s="57">
        <f t="shared" si="0"/>
        <v>-1</v>
      </c>
      <c r="E46" s="56" cm="1">
        <f t="array" ref="E46">1*OR(row_id=income_header_row,row_id=expenses_header_row,row_id=savings_header_row)</f>
        <v>0</v>
      </c>
      <c r="F46">
        <f t="shared" si="1"/>
        <v>0</v>
      </c>
      <c r="G46" cm="1">
        <f t="array" ref="G46">1*OR(row_id=expenses_total_row,row_id=savings_total_row,row_id=income_total_row)</f>
        <v>0</v>
      </c>
      <c r="H46" s="57">
        <f t="shared" si="2"/>
        <v>1</v>
      </c>
      <c r="I46" s="56" t="str" cm="1">
        <f t="array" ref="I46">IFERROR(INDEX('Budget Planning'!$C:$C, header_row_id), "")</f>
        <v/>
      </c>
      <c r="J46" t="str" cm="1">
        <f t="array" ref="J46">IFERROR(INDEX('Budget Planning'!$C:$C, row_id), "")</f>
        <v/>
      </c>
      <c r="K46" s="58" t="str" cm="1">
        <f t="array" ref="K46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6" s="57" t="str" cm="1">
        <f t="array" ref="L46">IF(OR(is_empty,is_header), "",
  INDEX('Budget Planning'!$E:$AS, row_id,
    MATCH(IF(selected_period="Total Year", selected_year, DATE(selected_year, selected_period, 1)),'Budget Planning'!$E$9:$AS$9,0) ))</f>
        <v/>
      </c>
      <c r="M46" s="56" t="str" cm="1">
        <f t="array" ref="M46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6" s="57" t="str" cm="1">
        <f t="array" ref="N46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6" s="56" t="str">
        <f t="shared" si="3"/>
        <v/>
      </c>
      <c r="P46" t="str">
        <f t="shared" ca="1" si="4"/>
        <v/>
      </c>
      <c r="Q46" t="str">
        <f t="shared" si="5"/>
        <v/>
      </c>
      <c r="R46" s="57" t="str">
        <f t="shared" ca="1" si="6"/>
        <v/>
      </c>
      <c r="S46" s="56" t="str">
        <f t="shared" si="7"/>
        <v/>
      </c>
      <c r="T46" t="str">
        <f t="shared" si="8"/>
        <v/>
      </c>
      <c r="U46" t="str">
        <f t="shared" ca="1" si="9"/>
        <v/>
      </c>
      <c r="V46" t="str">
        <f t="shared" si="10"/>
        <v/>
      </c>
      <c r="W46" s="57" t="str">
        <f t="shared" ca="1" si="11"/>
        <v/>
      </c>
      <c r="X46" s="60">
        <f t="shared" si="12"/>
        <v>-1</v>
      </c>
      <c r="Y46" t="str">
        <f t="shared" si="13"/>
        <v/>
      </c>
      <c r="Z46" s="40" t="str">
        <f t="shared" si="14"/>
        <v/>
      </c>
      <c r="AA46" s="40" t="str">
        <f t="shared" si="15"/>
        <v/>
      </c>
      <c r="AB46" s="61" t="str">
        <f t="shared" si="16"/>
        <v/>
      </c>
      <c r="AC46" s="40" t="str">
        <f t="shared" si="17"/>
        <v/>
      </c>
      <c r="AD46" t="str">
        <f t="shared" si="19"/>
        <v/>
      </c>
    </row>
    <row r="47" spans="3:44" x14ac:dyDescent="0.35">
      <c r="C47" s="56" cm="1">
        <f t="array" ref="C47">IF(C46=-1,-1,
IF(C46&lt;income_max_row,C46+1,
IF(C46=income_max_row,income_total_row,
IF(C46=income_total_row,"/1",
IF(C46="/1",expenses_header_row,
IF(C46&lt;expenses_max_row,C46+1,
IF(C46=expenses_max_row,expenses_total_row,
IF(C46=expenses_total_row,"/2",
IF(C46="/2",savings_header_row,
IF(C46&lt;savings_max_row,C46+1,
IF(C46=savings_max_row,savings_total_row,-1)))))))))))</f>
        <v>-1</v>
      </c>
      <c r="D47" s="57">
        <f t="shared" si="0"/>
        <v>-1</v>
      </c>
      <c r="E47" s="56" cm="1">
        <f t="array" ref="E47">1*OR(row_id=income_header_row,row_id=expenses_header_row,row_id=savings_header_row)</f>
        <v>0</v>
      </c>
      <c r="F47">
        <f t="shared" si="1"/>
        <v>0</v>
      </c>
      <c r="G47" cm="1">
        <f t="array" ref="G47">1*OR(row_id=expenses_total_row,row_id=savings_total_row,row_id=income_total_row)</f>
        <v>0</v>
      </c>
      <c r="H47" s="57">
        <f t="shared" si="2"/>
        <v>1</v>
      </c>
      <c r="I47" s="56" t="str" cm="1">
        <f t="array" ref="I47">IFERROR(INDEX('Budget Planning'!$C:$C, header_row_id), "")</f>
        <v/>
      </c>
      <c r="J47" t="str" cm="1">
        <f t="array" ref="J47">IFERROR(INDEX('Budget Planning'!$C:$C, row_id), "")</f>
        <v/>
      </c>
      <c r="K47" s="58" t="str" cm="1">
        <f t="array" ref="K47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7" s="57" t="str" cm="1">
        <f t="array" ref="L47">IF(OR(is_empty,is_header), "",
  INDEX('Budget Planning'!$E:$AS, row_id,
    MATCH(IF(selected_period="Total Year", selected_year, DATE(selected_year, selected_period, 1)),'Budget Planning'!$E$9:$AS$9,0) ))</f>
        <v/>
      </c>
      <c r="M47" s="56" t="str" cm="1">
        <f t="array" ref="M47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7" s="57" t="str" cm="1">
        <f t="array" ref="N47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7" s="56" t="str">
        <f t="shared" si="3"/>
        <v/>
      </c>
      <c r="P47" t="str">
        <f t="shared" ca="1" si="4"/>
        <v/>
      </c>
      <c r="Q47" t="str">
        <f t="shared" si="5"/>
        <v/>
      </c>
      <c r="R47" s="57" t="str">
        <f t="shared" ca="1" si="6"/>
        <v/>
      </c>
      <c r="S47" s="56" t="str">
        <f t="shared" si="7"/>
        <v/>
      </c>
      <c r="T47" t="str">
        <f t="shared" si="8"/>
        <v/>
      </c>
      <c r="U47" t="str">
        <f t="shared" ca="1" si="9"/>
        <v/>
      </c>
      <c r="V47" t="str">
        <f t="shared" si="10"/>
        <v/>
      </c>
      <c r="W47" s="57" t="str">
        <f t="shared" ca="1" si="11"/>
        <v/>
      </c>
      <c r="X47" s="60">
        <f t="shared" si="12"/>
        <v>-1</v>
      </c>
      <c r="Y47" t="str">
        <f t="shared" si="13"/>
        <v/>
      </c>
      <c r="Z47" s="40" t="str">
        <f t="shared" si="14"/>
        <v/>
      </c>
      <c r="AA47" s="40" t="str">
        <f t="shared" si="15"/>
        <v/>
      </c>
      <c r="AB47" s="61" t="str">
        <f t="shared" si="16"/>
        <v/>
      </c>
      <c r="AC47" s="40" t="str">
        <f t="shared" si="17"/>
        <v/>
      </c>
      <c r="AD47" t="str">
        <f t="shared" si="19"/>
        <v/>
      </c>
    </row>
    <row r="48" spans="3:44" x14ac:dyDescent="0.35">
      <c r="C48" s="56" cm="1">
        <f t="array" ref="C48">IF(C47=-1,-1,
IF(C47&lt;income_max_row,C47+1,
IF(C47=income_max_row,income_total_row,
IF(C47=income_total_row,"/1",
IF(C47="/1",expenses_header_row,
IF(C47&lt;expenses_max_row,C47+1,
IF(C47=expenses_max_row,expenses_total_row,
IF(C47=expenses_total_row,"/2",
IF(C47="/2",savings_header_row,
IF(C47&lt;savings_max_row,C47+1,
IF(C47=savings_max_row,savings_total_row,-1)))))))))))</f>
        <v>-1</v>
      </c>
      <c r="D48" s="57">
        <f t="shared" si="0"/>
        <v>-1</v>
      </c>
      <c r="E48" s="56" cm="1">
        <f t="array" ref="E48">1*OR(row_id=income_header_row,row_id=expenses_header_row,row_id=savings_header_row)</f>
        <v>0</v>
      </c>
      <c r="F48">
        <f t="shared" si="1"/>
        <v>0</v>
      </c>
      <c r="G48" cm="1">
        <f t="array" ref="G48">1*OR(row_id=expenses_total_row,row_id=savings_total_row,row_id=income_total_row)</f>
        <v>0</v>
      </c>
      <c r="H48" s="57">
        <f t="shared" si="2"/>
        <v>1</v>
      </c>
      <c r="I48" s="56" t="str" cm="1">
        <f t="array" ref="I48">IFERROR(INDEX('Budget Planning'!$C:$C, header_row_id), "")</f>
        <v/>
      </c>
      <c r="J48" t="str" cm="1">
        <f t="array" ref="J48">IFERROR(INDEX('Budget Planning'!$C:$C, row_id), "")</f>
        <v/>
      </c>
      <c r="K48" s="58" t="str" cm="1">
        <f t="array" ref="K48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8" s="57" t="str" cm="1">
        <f t="array" ref="L48">IF(OR(is_empty,is_header), "",
  INDEX('Budget Planning'!$E:$AS, row_id,
    MATCH(IF(selected_period="Total Year", selected_year, DATE(selected_year, selected_period, 1)),'Budget Planning'!$E$9:$AS$9,0) ))</f>
        <v/>
      </c>
      <c r="M48" s="56" t="str" cm="1">
        <f t="array" ref="M48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8" s="57" t="str" cm="1">
        <f t="array" ref="N48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8" s="56" t="str">
        <f t="shared" si="3"/>
        <v/>
      </c>
      <c r="P48" t="str">
        <f t="shared" ca="1" si="4"/>
        <v/>
      </c>
      <c r="Q48" t="str">
        <f t="shared" si="5"/>
        <v/>
      </c>
      <c r="R48" s="57" t="str">
        <f t="shared" ca="1" si="6"/>
        <v/>
      </c>
      <c r="S48" s="56" t="str">
        <f t="shared" si="7"/>
        <v/>
      </c>
      <c r="T48" t="str">
        <f t="shared" si="8"/>
        <v/>
      </c>
      <c r="U48" t="str">
        <f t="shared" ca="1" si="9"/>
        <v/>
      </c>
      <c r="V48" t="str">
        <f t="shared" si="10"/>
        <v/>
      </c>
      <c r="W48" s="57" t="str">
        <f t="shared" ca="1" si="11"/>
        <v/>
      </c>
      <c r="X48" s="60">
        <f t="shared" si="12"/>
        <v>-1</v>
      </c>
      <c r="Y48" t="str">
        <f t="shared" si="13"/>
        <v/>
      </c>
      <c r="Z48" s="40" t="str">
        <f t="shared" si="14"/>
        <v/>
      </c>
      <c r="AA48" s="40" t="str">
        <f t="shared" si="15"/>
        <v/>
      </c>
      <c r="AB48" s="61" t="str">
        <f t="shared" si="16"/>
        <v/>
      </c>
      <c r="AC48" s="40" t="str">
        <f t="shared" si="17"/>
        <v/>
      </c>
      <c r="AD48" t="str">
        <f t="shared" si="19"/>
        <v/>
      </c>
    </row>
    <row r="49" spans="3:30" x14ac:dyDescent="0.35">
      <c r="C49" s="56" cm="1">
        <f t="array" ref="C49">IF(C48=-1,-1,
IF(C48&lt;income_max_row,C48+1,
IF(C48=income_max_row,income_total_row,
IF(C48=income_total_row,"/1",
IF(C48="/1",expenses_header_row,
IF(C48&lt;expenses_max_row,C48+1,
IF(C48=expenses_max_row,expenses_total_row,
IF(C48=expenses_total_row,"/2",
IF(C48="/2",savings_header_row,
IF(C48&lt;savings_max_row,C48+1,
IF(C48=savings_max_row,savings_total_row,-1)))))))))))</f>
        <v>-1</v>
      </c>
      <c r="D49" s="57">
        <f t="shared" si="0"/>
        <v>-1</v>
      </c>
      <c r="E49" s="56" t="b">
        <v>0</v>
      </c>
      <c r="F49">
        <f t="shared" si="1"/>
        <v>0</v>
      </c>
      <c r="G49" cm="1">
        <f t="array" ref="G49">1*OR(row_id=expenses_total_row,row_id=savings_total_row,row_id=income_total_row)</f>
        <v>0</v>
      </c>
      <c r="H49" s="57">
        <f t="shared" si="2"/>
        <v>1</v>
      </c>
      <c r="I49" s="56" t="str" cm="1">
        <f t="array" ref="I49">IFERROR(INDEX('Budget Planning'!$C:$C, header_row_id), "")</f>
        <v/>
      </c>
      <c r="J49" t="str" cm="1">
        <f t="array" ref="J49">IFERROR(INDEX('Budget Planning'!$C:$C, row_id), "")</f>
        <v/>
      </c>
      <c r="K49" s="58" t="str" cm="1">
        <f t="array" ref="K49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49" s="57" t="str" cm="1">
        <f t="array" ref="L49">IF(OR(is_empty,is_header), "",
  INDEX('Budget Planning'!$E:$AS, row_id,
    MATCH(IF(selected_period="Total Year", selected_year, DATE(selected_year, selected_period, 1)),'Budget Planning'!$E$9:$AS$9,0) ))</f>
        <v/>
      </c>
      <c r="M49" s="56" t="str" cm="1">
        <f t="array" ref="M49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49" s="57" t="str" cm="1">
        <f t="array" ref="N49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49" s="56" t="str">
        <f t="shared" si="3"/>
        <v/>
      </c>
      <c r="P49" t="str">
        <f t="shared" ca="1" si="4"/>
        <v/>
      </c>
      <c r="Q49" t="str">
        <f t="shared" si="5"/>
        <v/>
      </c>
      <c r="R49" s="57" t="str">
        <f t="shared" ca="1" si="6"/>
        <v/>
      </c>
      <c r="S49" s="56" t="str">
        <f t="shared" si="7"/>
        <v/>
      </c>
      <c r="T49" t="str">
        <f t="shared" si="8"/>
        <v/>
      </c>
      <c r="U49" t="str">
        <f t="shared" ca="1" si="9"/>
        <v/>
      </c>
      <c r="V49" t="str">
        <f t="shared" si="10"/>
        <v/>
      </c>
      <c r="W49" s="57" t="str">
        <f t="shared" ca="1" si="11"/>
        <v/>
      </c>
      <c r="X49" s="60">
        <f t="shared" si="12"/>
        <v>-1</v>
      </c>
      <c r="Y49" t="str">
        <f t="shared" si="13"/>
        <v/>
      </c>
      <c r="Z49" s="40" t="str">
        <f t="shared" si="14"/>
        <v/>
      </c>
      <c r="AA49" s="40" t="str">
        <f t="shared" si="15"/>
        <v/>
      </c>
      <c r="AB49" s="61" t="str">
        <f t="shared" si="16"/>
        <v/>
      </c>
      <c r="AC49" s="40" t="str">
        <f t="shared" si="17"/>
        <v/>
      </c>
      <c r="AD49" t="str">
        <f t="shared" si="19"/>
        <v/>
      </c>
    </row>
    <row r="50" spans="3:30" x14ac:dyDescent="0.35">
      <c r="C50" s="56" cm="1">
        <f t="array" ref="C50">IF(C49=-1,-1,
IF(C49&lt;income_max_row,C49+1,
IF(C49=income_max_row,income_total_row,
IF(C49=income_total_row,"/1",
IF(C49="/1",expenses_header_row,
IF(C49&lt;expenses_max_row,C49+1,
IF(C49=expenses_max_row,expenses_total_row,
IF(C49=expenses_total_row,"/2",
IF(C49="/2",savings_header_row,
IF(C49&lt;savings_max_row,C49+1,
IF(C49=savings_max_row,savings_total_row,-1)))))))))))</f>
        <v>-1</v>
      </c>
      <c r="D50" s="57">
        <f t="shared" si="0"/>
        <v>-1</v>
      </c>
      <c r="E50" s="56" t="b">
        <v>1</v>
      </c>
      <c r="F50">
        <f t="shared" si="1"/>
        <v>0</v>
      </c>
      <c r="G50" cm="1">
        <f t="array" ref="G50">1*OR(row_id=expenses_total_row,row_id=savings_total_row,row_id=income_total_row)</f>
        <v>0</v>
      </c>
      <c r="H50" s="57">
        <f t="shared" si="2"/>
        <v>1</v>
      </c>
      <c r="I50" s="56" t="str" cm="1">
        <f t="array" ref="I50">IFERROR(INDEX('Budget Planning'!$C:$C, header_row_id), "")</f>
        <v/>
      </c>
      <c r="J50" t="str" cm="1">
        <f t="array" ref="J50">IFERROR(INDEX('Budget Planning'!$C:$C, row_id), "")</f>
        <v/>
      </c>
      <c r="K50" s="58" t="str" cm="1">
        <f t="array" ref="K50">IF(OR(is_header, is_empty), "",
  IF(is_total,
   IF(selected_period="Total Year",
     SUM(Tracking[Amount] * (Tracking[Type]=type) * (YEAR(Tracking[Effective Date])=selected_year)),
     SUM(Tracking[Amount] * (Tracking[Type]=type) * (YEAR(Tracking[Effective Date])=selected_year) * (MONTH(Tracking[Effective Date])=selected_period))),
    IF(selected_period="Total Year",
     SUM(Tracking[Amount] * (Tracking[Type]=type) * (Tracking[Category]=item) * (YEAR(Tracking[Effective Date])=selected_year)),
     SUM(Tracking[Amount] * (Tracking[Type]=type) * (Tracking[Category]=item) * (YEAR(Tracking[Effective Date])=selected_year) *
(MONTH(Tracking[Effective Date])=selected_period)))
  )
)</f>
        <v/>
      </c>
      <c r="L50" s="57" t="str" cm="1">
        <f t="array" ref="L50">IF(OR(is_empty,is_header), "",
  INDEX('Budget Planning'!$E:$AS, row_id,
    MATCH(IF(selected_period="Total Year", selected_year, DATE(selected_year, selected_period, 1)),'Budget Planning'!$E$9:$AS$9,0) ))</f>
        <v/>
      </c>
      <c r="M50" s="56" t="str" cm="1">
        <f t="array" ref="M50">IF(is_cat,
   IF(header_row_id=income_header_row, MATCH(income_min_row,$C:$C,0),
    IF(header_row_id=expenses_header_row, MATCH(expenses_min_row,$C:$C,0),
     IF(header_row_id=savings_header_row, MATCH(savings_min_row,$C:$C,0), ""))), "")</f>
        <v/>
      </c>
      <c r="N50" s="57" t="str" cm="1">
        <f t="array" ref="N50">IF(is_cat,
   IF(header_row_id=income_header_row, MATCH(income_max_row,$C:$C,0),
    IF(header_row_id=expenses_header_row, MATCH(expenses_max_row,$C:$C,0),
     IF(header_row_id=savings_header_row, MATCH(savings_max_row,$C:$C,0), ""))), "")</f>
        <v/>
      </c>
      <c r="O50" s="56" t="str">
        <f t="shared" si="3"/>
        <v/>
      </c>
      <c r="P50" t="str">
        <f t="shared" ca="1" si="4"/>
        <v/>
      </c>
      <c r="Q50" t="str">
        <f t="shared" si="5"/>
        <v/>
      </c>
      <c r="R50" s="57" t="str">
        <f t="shared" ca="1" si="6"/>
        <v/>
      </c>
      <c r="S50" s="56" t="str">
        <f t="shared" si="7"/>
        <v/>
      </c>
      <c r="T50" t="str">
        <f t="shared" si="8"/>
        <v/>
      </c>
      <c r="U50" t="str">
        <f t="shared" ca="1" si="9"/>
        <v/>
      </c>
      <c r="V50" t="str">
        <f t="shared" si="10"/>
        <v/>
      </c>
      <c r="W50" s="57" t="str">
        <f t="shared" ca="1" si="11"/>
        <v/>
      </c>
      <c r="X50" s="60">
        <f t="shared" si="12"/>
        <v>-1</v>
      </c>
      <c r="Y50" t="str">
        <f t="shared" si="13"/>
        <v/>
      </c>
      <c r="Z50" s="40" t="str">
        <f t="shared" si="14"/>
        <v/>
      </c>
      <c r="AA50" s="40" t="str">
        <f t="shared" si="15"/>
        <v/>
      </c>
      <c r="AB50" s="61" t="str">
        <f t="shared" si="16"/>
        <v/>
      </c>
      <c r="AC50" s="40" t="str">
        <f t="shared" si="17"/>
        <v/>
      </c>
      <c r="AD50" t="str">
        <f t="shared" si="19"/>
        <v/>
      </c>
    </row>
    <row r="51" spans="3:30" x14ac:dyDescent="0.35">
      <c r="E51" t="b">
        <v>1</v>
      </c>
    </row>
    <row r="52" spans="3:30" x14ac:dyDescent="0.35">
      <c r="E52" t="b">
        <v>1</v>
      </c>
    </row>
  </sheetData>
  <mergeCells count="9">
    <mergeCell ref="B1:E3"/>
    <mergeCell ref="Y11:AD11"/>
    <mergeCell ref="AF11:AR11"/>
    <mergeCell ref="AQ5:AR5"/>
    <mergeCell ref="AQ6:AR6"/>
    <mergeCell ref="AN6:AP6"/>
    <mergeCell ref="AQ8:AR8"/>
    <mergeCell ref="AN9:AP9"/>
    <mergeCell ref="AQ9:AR9"/>
  </mergeCells>
  <conditionalFormatting sqref="Y13:AD50">
    <cfRule type="expression" dxfId="30" priority="25" stopIfTrue="1">
      <formula>row_id=expenses_header_row</formula>
    </cfRule>
    <cfRule type="expression" dxfId="29" priority="26" stopIfTrue="1">
      <formula>row_id=income_header_row</formula>
    </cfRule>
    <cfRule type="expression" dxfId="28" priority="27" stopIfTrue="1">
      <formula>row_id=savings_header_row</formula>
    </cfRule>
    <cfRule type="expression" dxfId="27" priority="28" stopIfTrue="1">
      <formula>is_total</formula>
    </cfRule>
  </conditionalFormatting>
  <conditionalFormatting sqref="AB13:AB50">
    <cfRule type="expression" dxfId="26" priority="29" stopIfTrue="1">
      <formula>AND(OR(is_cat, is_total), out_budget &gt; 0, out_percentage_completed &gt;=1, header_row_id=expenses_header_row)</formula>
    </cfRule>
    <cfRule type="expression" dxfId="25" priority="30" stopIfTrue="1">
      <formula>AND(OR(is_cat, is_total), out_budget &gt; 0, out_percentage_completed &gt;=1, header_row_id=savings_header_row)</formula>
    </cfRule>
    <cfRule type="expression" dxfId="24" priority="31" stopIfTrue="1">
      <formula>AND(OR(is_cat, is_total), out_budget &gt; 0, out_percentage_completed &gt;=1, header_row_id=income_header_row)</formula>
    </cfRule>
    <cfRule type="dataBar" priority="32">
      <dataBar>
        <cfvo type="num" val="0"/>
        <cfvo type="num" val="1"/>
        <color theme="0" tint="-0.14999847407452621"/>
      </dataBar>
      <extLst>
        <ext xmlns:x14="http://schemas.microsoft.com/office/spreadsheetml/2009/9/main" uri="{B025F937-C7B1-47D3-B67F-A62EFF666E3E}">
          <x14:id>{B0428828-2363-4C8E-A2F2-02A3A858A0DE}</x14:id>
        </ext>
      </extLst>
    </cfRule>
  </conditionalFormatting>
  <conditionalFormatting sqref="AH16">
    <cfRule type="expression" dxfId="23" priority="19">
      <formula>AI16&lt;&gt;""</formula>
    </cfRule>
  </conditionalFormatting>
  <conditionalFormatting sqref="AH17">
    <cfRule type="expression" dxfId="22" priority="20">
      <formula>AI17&lt;&gt;""</formula>
    </cfRule>
  </conditionalFormatting>
  <conditionalFormatting sqref="AH18">
    <cfRule type="expression" dxfId="21" priority="21">
      <formula>AI18&lt;&gt;""</formula>
    </cfRule>
  </conditionalFormatting>
  <conditionalFormatting sqref="AH19">
    <cfRule type="expression" dxfId="20" priority="22">
      <formula>AI19&lt;&gt;""</formula>
    </cfRule>
  </conditionalFormatting>
  <conditionalFormatting sqref="AH20">
    <cfRule type="expression" dxfId="19" priority="23">
      <formula>AI20&lt;&gt;""</formula>
    </cfRule>
  </conditionalFormatting>
  <conditionalFormatting sqref="AH21">
    <cfRule type="expression" dxfId="18" priority="24">
      <formula>AI21&lt;&gt;""</formula>
    </cfRule>
  </conditionalFormatting>
  <conditionalFormatting sqref="AH29">
    <cfRule type="expression" dxfId="17" priority="13">
      <formula>AI29&lt;&gt;""</formula>
    </cfRule>
  </conditionalFormatting>
  <conditionalFormatting sqref="AH30">
    <cfRule type="expression" dxfId="16" priority="14">
      <formula>AI30&lt;&gt;""</formula>
    </cfRule>
  </conditionalFormatting>
  <conditionalFormatting sqref="AH31">
    <cfRule type="expression" dxfId="15" priority="15">
      <formula>AI31&lt;&gt;""</formula>
    </cfRule>
  </conditionalFormatting>
  <conditionalFormatting sqref="AH32">
    <cfRule type="expression" dxfId="14" priority="16">
      <formula>AI32&lt;&gt;""</formula>
    </cfRule>
  </conditionalFormatting>
  <conditionalFormatting sqref="AH33">
    <cfRule type="expression" dxfId="13" priority="17">
      <formula>AI33&lt;&gt;""</formula>
    </cfRule>
  </conditionalFormatting>
  <conditionalFormatting sqref="AH34">
    <cfRule type="expression" dxfId="12" priority="18">
      <formula>AI34&lt;&gt;""</formula>
    </cfRule>
  </conditionalFormatting>
  <conditionalFormatting sqref="AO16">
    <cfRule type="expression" dxfId="11" priority="1">
      <formula>AP16&lt;&gt;""</formula>
    </cfRule>
  </conditionalFormatting>
  <conditionalFormatting sqref="AO17">
    <cfRule type="expression" dxfId="10" priority="2">
      <formula>AP17&lt;&gt;""</formula>
    </cfRule>
  </conditionalFormatting>
  <conditionalFormatting sqref="AO18">
    <cfRule type="expression" dxfId="9" priority="3">
      <formula>AP18&lt;&gt;""</formula>
    </cfRule>
  </conditionalFormatting>
  <conditionalFormatting sqref="AO19">
    <cfRule type="expression" dxfId="8" priority="4">
      <formula>AP19&lt;&gt;""</formula>
    </cfRule>
  </conditionalFormatting>
  <conditionalFormatting sqref="AO20">
    <cfRule type="expression" dxfId="7" priority="5">
      <formula>AP20&lt;&gt;""</formula>
    </cfRule>
  </conditionalFormatting>
  <conditionalFormatting sqref="AO21">
    <cfRule type="expression" dxfId="6" priority="6">
      <formula>AP21&lt;&gt;""</formula>
    </cfRule>
  </conditionalFormatting>
  <conditionalFormatting sqref="AO29">
    <cfRule type="expression" dxfId="5" priority="7">
      <formula>AP29&lt;&gt;""</formula>
    </cfRule>
  </conditionalFormatting>
  <conditionalFormatting sqref="AO30">
    <cfRule type="expression" dxfId="4" priority="8">
      <formula>AP30&lt;&gt;""</formula>
    </cfRule>
  </conditionalFormatting>
  <conditionalFormatting sqref="AO31">
    <cfRule type="expression" dxfId="3" priority="9">
      <formula>AP31&lt;&gt;""</formula>
    </cfRule>
  </conditionalFormatting>
  <conditionalFormatting sqref="AO32">
    <cfRule type="expression" dxfId="2" priority="10">
      <formula>AP32&lt;&gt;""</formula>
    </cfRule>
  </conditionalFormatting>
  <conditionalFormatting sqref="AO33">
    <cfRule type="expression" dxfId="1" priority="11">
      <formula>AP33&lt;&gt;""</formula>
    </cfRule>
  </conditionalFormatting>
  <conditionalFormatting sqref="AO34">
    <cfRule type="expression" dxfId="0" priority="12">
      <formula>AP34&lt;&gt;""</formula>
    </cfRule>
  </conditionalFormatting>
  <pageMargins left="0.7" right="0.7" top="0.75" bottom="0.75" header="0.3" footer="0.3"/>
  <pageSetup paperSize="9" orientation="portrait" horizontalDpi="4294967292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39</xdr:col>
                    <xdr:colOff>857250</xdr:colOff>
                    <xdr:row>13</xdr:row>
                    <xdr:rowOff>25400</xdr:rowOff>
                  </from>
                  <to>
                    <xdr:col>41</xdr:col>
                    <xdr:colOff>723900</xdr:colOff>
                    <xdr:row>14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39</xdr:col>
                    <xdr:colOff>857250</xdr:colOff>
                    <xdr:row>14</xdr:row>
                    <xdr:rowOff>57150</xdr:rowOff>
                  </from>
                  <to>
                    <xdr:col>41</xdr:col>
                    <xdr:colOff>742950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>
                <anchor moveWithCells="1">
                  <from>
                    <xdr:col>39</xdr:col>
                    <xdr:colOff>857250</xdr:colOff>
                    <xdr:row>15</xdr:row>
                    <xdr:rowOff>101600</xdr:rowOff>
                  </from>
                  <to>
                    <xdr:col>41</xdr:col>
                    <xdr:colOff>723900</xdr:colOff>
                    <xdr:row>16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7" name="Check Box 10">
              <controlPr defaultSize="0" autoFill="0" autoLine="0" autoPict="0">
                <anchor moveWithCells="1">
                  <from>
                    <xdr:col>42</xdr:col>
                    <xdr:colOff>6350</xdr:colOff>
                    <xdr:row>13</xdr:row>
                    <xdr:rowOff>31750</xdr:rowOff>
                  </from>
                  <to>
                    <xdr:col>43</xdr:col>
                    <xdr:colOff>425450</xdr:colOff>
                    <xdr:row>14</xdr:row>
                    <xdr:rowOff>63500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428828-2363-4C8E-A2F2-02A3A858A0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AB13:AB50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CFD130E-FD56-4E92-85E4-9C823B129332}">
          <x14:formula1>
            <xm:f>'Dropdown Data'!$C$8:$C$18</xm:f>
          </x14:formula1>
          <xm:sqref>AQ6:AR6</xm:sqref>
        </x14:dataValidation>
        <x14:dataValidation type="list" allowBlank="1" showInputMessage="1" showErrorMessage="1" xr:uid="{4A6E6C3D-920C-4E35-8B4F-3C10A6BC5BAF}">
          <x14:formula1>
            <xm:f>'Dropdown Data'!$E$8:$E$21</xm:f>
          </x14:formula1>
          <xm:sqref>AQ9:AR9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9C2E-72E3-48E2-B926-C0F55B699671}">
  <dimension ref="B1:R102"/>
  <sheetViews>
    <sheetView showGridLines="0" zoomScale="81" zoomScaleNormal="130" workbookViewId="0">
      <selection activeCell="J55" sqref="J55"/>
    </sheetView>
  </sheetViews>
  <sheetFormatPr defaultRowHeight="14.5" x14ac:dyDescent="0.35"/>
  <cols>
    <col min="2" max="2" width="2.7265625" customWidth="1"/>
    <col min="3" max="3" width="2.26953125" customWidth="1"/>
    <col min="4" max="4" width="21.90625" customWidth="1"/>
    <col min="5" max="5" width="27.08984375" bestFit="1" customWidth="1"/>
    <col min="6" max="6" width="10.90625" customWidth="1"/>
    <col min="7" max="7" width="10.1796875" customWidth="1"/>
    <col min="8" max="8" width="21.90625" customWidth="1"/>
    <col min="9" max="9" width="27.08984375" customWidth="1"/>
    <col min="10" max="10" width="9" customWidth="1"/>
    <col min="11" max="11" width="8.7265625" customWidth="1"/>
    <col min="12" max="12" width="21.90625" customWidth="1"/>
    <col min="13" max="13" width="27.08984375" customWidth="1"/>
    <col min="14" max="14" width="9.81640625" bestFit="1" customWidth="1"/>
    <col min="16" max="16" width="27.08984375" bestFit="1" customWidth="1"/>
    <col min="17" max="17" width="9.81640625" bestFit="1" customWidth="1"/>
  </cols>
  <sheetData>
    <row r="1" spans="2:13" s="37" customFormat="1" ht="14.5" customHeight="1" x14ac:dyDescent="0.35">
      <c r="B1" s="113" t="s">
        <v>34</v>
      </c>
      <c r="C1" s="114"/>
      <c r="D1" s="114"/>
      <c r="E1" s="114"/>
    </row>
    <row r="2" spans="2:13" s="37" customFormat="1" ht="14.5" customHeight="1" x14ac:dyDescent="0.35">
      <c r="B2" s="114"/>
      <c r="C2" s="114"/>
      <c r="D2" s="114"/>
      <c r="E2" s="114"/>
    </row>
    <row r="3" spans="2:13" s="37" customFormat="1" ht="14.5" customHeight="1" x14ac:dyDescent="0.35">
      <c r="B3" s="114"/>
      <c r="C3" s="114"/>
      <c r="D3" s="114"/>
      <c r="E3" s="114"/>
    </row>
    <row r="6" spans="2:13" x14ac:dyDescent="0.35">
      <c r="B6" s="115" t="s">
        <v>35</v>
      </c>
      <c r="C6" s="116"/>
      <c r="D6" s="116"/>
      <c r="E6" s="116"/>
      <c r="F6" s="116"/>
    </row>
    <row r="8" spans="2:13" x14ac:dyDescent="0.35">
      <c r="D8" s="7" t="s">
        <v>36</v>
      </c>
      <c r="E8" s="38" cm="1">
        <f t="array" aca="1" ref="E8" ca="1">current_date</f>
        <v>46153</v>
      </c>
      <c r="H8" s="7" t="s">
        <v>36</v>
      </c>
      <c r="I8" s="38" cm="1">
        <f t="array" aca="1" ref="I8" ca="1">current_date</f>
        <v>46153</v>
      </c>
      <c r="L8" s="7" t="s">
        <v>36</v>
      </c>
      <c r="M8" s="38" cm="1">
        <f t="array" aca="1" ref="M8" ca="1">current_date</f>
        <v>46153</v>
      </c>
    </row>
    <row r="9" spans="2:13" x14ac:dyDescent="0.35">
      <c r="D9" s="7" t="s">
        <v>37</v>
      </c>
      <c r="E9" s="38">
        <f>MAX(Tracking[Date])</f>
        <v>46170</v>
      </c>
      <c r="H9" s="7" t="s">
        <v>37</v>
      </c>
      <c r="I9" s="38">
        <f>MAX(Tracking[Date])</f>
        <v>46170</v>
      </c>
      <c r="L9" s="7" t="s">
        <v>37</v>
      </c>
      <c r="M9" s="38">
        <f>MAX(Tracking[Date])</f>
        <v>46170</v>
      </c>
    </row>
    <row r="10" spans="2:13" x14ac:dyDescent="0.35">
      <c r="D10" s="7" t="s">
        <v>38</v>
      </c>
      <c r="E10" s="39" t="str">
        <f ca="1">IF(E9=0,"","("&amp;_xlfn.DAYS(E8,E9)&amp;" days ago)")</f>
        <v>(-17 days ago)</v>
      </c>
      <c r="H10" s="7" t="s">
        <v>38</v>
      </c>
      <c r="I10" s="39" t="str">
        <f ca="1">IF(I9=0,"","("&amp;_xlfn.DAYS(I8,I9)&amp;" days ago)")</f>
        <v>(-17 days ago)</v>
      </c>
      <c r="L10" s="7" t="s">
        <v>38</v>
      </c>
      <c r="M10" s="39" t="str">
        <f ca="1">IF(M9=0,"","("&amp;_xlfn.DAYS(M8,M9)&amp;" days ago)")</f>
        <v>(-17 days ago)</v>
      </c>
    </row>
    <row r="11" spans="2:13" x14ac:dyDescent="0.35">
      <c r="D11" s="7" t="s">
        <v>39</v>
      </c>
      <c r="E11">
        <f>COUNT(Tracking[Date])</f>
        <v>346</v>
      </c>
      <c r="H11" s="7" t="s">
        <v>39</v>
      </c>
      <c r="I11">
        <f>COUNT(Tracking[Date])</f>
        <v>346</v>
      </c>
      <c r="L11" s="7" t="s">
        <v>39</v>
      </c>
      <c r="M11">
        <f>COUNT(Tracking[Date])</f>
        <v>346</v>
      </c>
    </row>
    <row r="12" spans="2:13" x14ac:dyDescent="0.35">
      <c r="D12" s="7" t="s">
        <v>40</v>
      </c>
      <c r="E12" s="39" t="str" cm="1">
        <f t="array" aca="1" ref="E12" ca="1">"(" &amp; SUMPRODUCT(--(YEAR(Tracking[Date])=YEAR(current_date))) &amp; " this year)"</f>
        <v>(95 this year)</v>
      </c>
      <c r="H12" s="7" t="s">
        <v>40</v>
      </c>
      <c r="I12" s="39" t="str" cm="1">
        <f t="array" aca="1" ref="I12" ca="1">"(" &amp; SUMPRODUCT(--(YEAR(Tracking[Date])=YEAR(current_date))) &amp; " this year)"</f>
        <v>(95 this year)</v>
      </c>
      <c r="L12" s="7" t="s">
        <v>40</v>
      </c>
      <c r="M12" s="39" t="str" cm="1">
        <f t="array" aca="1" ref="M12" ca="1">"(" &amp; SUMPRODUCT(--(YEAR(Tracking[Date])=YEAR(current_date))) &amp; " this year)"</f>
        <v>(95 this year)</v>
      </c>
    </row>
    <row r="13" spans="2:13" x14ac:dyDescent="0.35">
      <c r="D13" s="7" t="s">
        <v>42</v>
      </c>
      <c r="E13" s="40">
        <f>_xlfn.IFNA(INDEX(Tracking[Balance],MATCH(Calculations!E9,Tracking[Date],0)), "-")</f>
        <v>22766.97</v>
      </c>
      <c r="H13" s="7" t="s">
        <v>42</v>
      </c>
      <c r="I13" s="40">
        <f>_xlfn.IFNA(INDEX(Tracking[Balance],MATCH(Calculations!I9,Tracking[Date],0)), "-")</f>
        <v>22766.97</v>
      </c>
      <c r="L13" s="7" t="s">
        <v>42</v>
      </c>
      <c r="M13" s="40">
        <f>_xlfn.IFNA(INDEX(Tracking[Balance],MATCH(Calculations!M9,Tracking[Date],0)), "-")</f>
        <v>22766.97</v>
      </c>
    </row>
    <row r="14" spans="2:13" x14ac:dyDescent="0.35">
      <c r="D14" s="7" t="s">
        <v>41</v>
      </c>
      <c r="E14" t="str">
        <f>IF(E13&gt;=0,"of tracked income left to be allocated", "allocated not covered by income")</f>
        <v>of tracked income left to be allocated</v>
      </c>
      <c r="H14" s="7" t="s">
        <v>41</v>
      </c>
      <c r="I14" t="str">
        <f>IF(I13&gt;=0,"of tracked income left to be allocated", "allocated not covered by income")</f>
        <v>of tracked income left to be allocated</v>
      </c>
      <c r="L14" s="7" t="s">
        <v>41</v>
      </c>
      <c r="M14" t="str">
        <f>IF(M13&gt;=0,"of tracked income left to be allocated", "allocated not covered by income")</f>
        <v>of tracked income left to be allocated</v>
      </c>
    </row>
    <row r="17" spans="2:14" x14ac:dyDescent="0.35">
      <c r="B17" s="115" t="s">
        <v>35</v>
      </c>
      <c r="C17" s="116"/>
      <c r="D17" s="116"/>
      <c r="E17" s="116"/>
      <c r="F17" s="116"/>
    </row>
    <row r="19" spans="2:14" x14ac:dyDescent="0.35">
      <c r="D19" s="7" t="s">
        <v>52</v>
      </c>
      <c r="E19" cm="1">
        <f t="array" ref="E19">IF('Budget dashboard'!$AQ$6="Current Year", YEAR(current_date), 'Budget dashboard'!$AQ$6)</f>
        <v>2026</v>
      </c>
      <c r="H19" s="7" t="s">
        <v>52</v>
      </c>
      <c r="I19" cm="1">
        <f t="array" ref="I19">IF('Budget dashboard'!$AQ$6="Current Year", YEAR(current_date), 'Budget dashboard'!$AQ$6)</f>
        <v>2026</v>
      </c>
      <c r="L19" s="7" t="s">
        <v>52</v>
      </c>
      <c r="M19" cm="1">
        <f t="array" ref="M19">IF('Budget dashboard'!$AQ$6="Current Year", YEAR(current_date), 'Budget dashboard'!$AQ$6)</f>
        <v>2026</v>
      </c>
    </row>
    <row r="20" spans="2:14" x14ac:dyDescent="0.35">
      <c r="D20" s="49" t="s">
        <v>53</v>
      </c>
      <c r="E20" s="50" t="str" cm="1">
        <f t="array" ref="E20">IF('Budget dashboard'!$AQ$9="Total Year", "Total Year", IF('Budget dashboard'!$AQ$9="Current Month",MONTH(current_date),MONTH('Budget dashboard'!$AQ$9)))</f>
        <v>Total Year</v>
      </c>
      <c r="H20" s="49" t="s">
        <v>53</v>
      </c>
      <c r="I20" s="50" t="str" cm="1">
        <f t="array" ref="I20">IF('Budget dashboard'!$AQ$9="Total Year", "Total Year", IF('Budget dashboard'!$AQ$9="Current Month",MONTH(current_date),MONTH('Budget dashboard'!$AQ$9)))</f>
        <v>Total Year</v>
      </c>
      <c r="L20" s="49" t="s">
        <v>53</v>
      </c>
      <c r="M20" s="50" t="str" cm="1">
        <f t="array" ref="M20">IF('Budget dashboard'!$AQ$9="Total Year", "Total Year", IF('Budget dashboard'!$AQ$9="Current Month",MONTH(current_date),MONTH('Budget dashboard'!$AQ$9)))</f>
        <v>Total Year</v>
      </c>
    </row>
    <row r="21" spans="2:14" x14ac:dyDescent="0.35">
      <c r="D21" s="51" t="s">
        <v>54</v>
      </c>
      <c r="E21" s="39" t="str">
        <f>IF(selected_period="Total Year","Total Year",TEXT(DATE(selected_year,selected_period,1),"mmmm"))</f>
        <v>Total Year</v>
      </c>
      <c r="H21" s="51" t="s">
        <v>54</v>
      </c>
      <c r="I21" s="39" t="str">
        <f>IF(selected_period="Total Year","Total Year",TEXT(DATE(selected_year,selected_period,1),"mmmm"))</f>
        <v>Total Year</v>
      </c>
      <c r="L21" s="51" t="s">
        <v>54</v>
      </c>
      <c r="M21" s="39" t="str">
        <f>IF(selected_period="Total Year","Total Year",TEXT(DATE(selected_year,selected_period,1),"mmmm"))</f>
        <v>Total Year</v>
      </c>
    </row>
    <row r="22" spans="2:14" x14ac:dyDescent="0.35">
      <c r="D22" s="7" t="s">
        <v>96</v>
      </c>
      <c r="E22">
        <f>IF(selected_period="Total Year", DATE(selected_year,12,31) - DATE(selected_year-1,12,31),
  DAY(EOMONTH(DATE(selected_year,selected_period,1),0)))</f>
        <v>365</v>
      </c>
    </row>
    <row r="23" spans="2:14" x14ac:dyDescent="0.35">
      <c r="D23" s="7" t="s">
        <v>97</v>
      </c>
      <c r="E23" cm="1">
        <f t="array" aca="1" ref="E23" ca="1">IF(selected_year=YEAR(current_date),
  IF(selected_period="Total Year", current_date-DATE(selected_year-1,12,31),
   IF(selected_period=MONTH(current_date), DAY(current_date),
    IF(selected_period&lt;MONTH(current_date), E22,0))),
   IF(selected_year&lt;YEAR(current_date), E22, 0))</f>
        <v>131</v>
      </c>
    </row>
    <row r="24" spans="2:14" x14ac:dyDescent="0.35">
      <c r="D24" s="7" t="s">
        <v>98</v>
      </c>
      <c r="E24" s="61">
        <f ca="1">E23/E22</f>
        <v>0.35890410958904112</v>
      </c>
      <c r="G24" s="96"/>
    </row>
    <row r="25" spans="2:14" x14ac:dyDescent="0.35">
      <c r="D25" s="7" t="s">
        <v>99</v>
      </c>
      <c r="E25" s="58">
        <f ca="1">F41-(J41+N41)</f>
        <v>10731.239999999991</v>
      </c>
    </row>
    <row r="26" spans="2:14" x14ac:dyDescent="0.35">
      <c r="D26" s="7" t="s">
        <v>41</v>
      </c>
      <c r="E26" t="str">
        <f ca="1">IF(E25&gt;=0,"of tracked income left to be allocated", "allocated not covered by income")</f>
        <v>of tracked income left to be allocated</v>
      </c>
    </row>
    <row r="27" spans="2:14" x14ac:dyDescent="0.35">
      <c r="D27" s="7" t="s">
        <v>100</v>
      </c>
      <c r="E27" s="97">
        <f ca="1">IFERROR(IF(savings_rate_calculation_type="% allocated to Savings", N41/F41, (F41-(J41+Q41))/(F41)), "-")</f>
        <v>0.47037670377849788</v>
      </c>
    </row>
    <row r="32" spans="2:14" x14ac:dyDescent="0.35">
      <c r="D32" s="71" t="s">
        <v>77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</row>
    <row r="34" spans="4:14" x14ac:dyDescent="0.35">
      <c r="D34" s="72" t="s">
        <v>4</v>
      </c>
      <c r="E34" s="72" t="s">
        <v>24</v>
      </c>
      <c r="F34" s="72" t="s">
        <v>25</v>
      </c>
      <c r="H34" s="72" t="s">
        <v>11</v>
      </c>
      <c r="I34" s="72" t="s">
        <v>24</v>
      </c>
      <c r="J34" s="72" t="s">
        <v>25</v>
      </c>
      <c r="L34" s="72" t="s">
        <v>15</v>
      </c>
      <c r="M34" s="72" t="s">
        <v>24</v>
      </c>
      <c r="N34" s="72" t="s">
        <v>25</v>
      </c>
    </row>
    <row r="35" spans="4:14" x14ac:dyDescent="0.35">
      <c r="D35" s="73">
        <v>1</v>
      </c>
      <c r="E35" s="73" t="str" cm="1">
        <f t="array" aca="1" ref="E35" ca="1">IF(F35="", "", INDEX('Budget dashboard'!$J:$J, MATCH(income_header_row + Calculations!D35, 'Budget dashboard'!$X:$X,0)))</f>
        <v>Empoyment(Net)</v>
      </c>
      <c r="F35" s="76" cm="1">
        <f t="array" aca="1" ref="F35" ca="1">IF(D35&gt;COUNTA(Income[]),"",
  IF(INDEX('Budget dashboard'!$K:$K, MATCH(income_header_row + Calculations!D35, 'Budget dashboard'!$X:$X,0))=0, "",
   INDEX('Budget dashboard'!$K:$K, MATCH(income_header_row + Calculations!D35, 'Budget dashboard'!$X:$X,0))))</f>
        <v>47100</v>
      </c>
      <c r="H35" s="73">
        <v>1</v>
      </c>
      <c r="I35" s="73" t="str" cm="1">
        <f t="array" aca="1" ref="I35" ca="1">IF(J35="", "", INDEX('Budget dashboard'!$J:$J, MATCH(expenses_header_row + Calculations!H35, 'Budget dashboard'!$X:$X,0)))</f>
        <v>Housing</v>
      </c>
      <c r="J35" s="76" cm="1">
        <f t="array" aca="1" ref="J35" ca="1">IF(H35&gt;COUNTA(Expenses[]),"",
  IF(INDEX('Budget dashboard'!$K:$K, MATCH(expenses_header_row + Calculations!H35, 'Budget dashboard'!$X:$X,0))=0, "",
   INDEX('Budget dashboard'!$K:$K, MATCH(expenses_header_row + Calculations!H35, 'Budget dashboard'!$X:$X,0))))</f>
        <v>17400</v>
      </c>
      <c r="L35" s="73">
        <v>1</v>
      </c>
      <c r="M35" s="73" t="str" cm="1">
        <f t="array" aca="1" ref="M35" ca="1">IF(N35="", "", INDEX('Budget dashboard'!$J:$J, MATCH(savings_header_row + Calculations!L35, 'Budget dashboard'!$X:$X,0)))</f>
        <v>Stock Portfolio</v>
      </c>
      <c r="N35" s="76" cm="1">
        <f t="array" aca="1" ref="N35" ca="1">IF(L35&gt;COUNTA(Savings[]),"",
  IF(INDEX('Budget dashboard'!$K:$K, MATCH(savings_header_row + Calculations!L35, 'Budget dashboard'!$X:$X,0))=0, "",
   INDEX('Budget dashboard'!$K:$K, MATCH(savings_header_row + Calculations!L35, 'Budget dashboard'!$X:$X,0))))</f>
        <v>6100</v>
      </c>
    </row>
    <row r="36" spans="4:14" x14ac:dyDescent="0.35">
      <c r="D36" s="73">
        <v>2</v>
      </c>
      <c r="E36" s="73" t="str" cm="1">
        <f t="array" aca="1" ref="E36" ca="1">IF(F36="", "", INDEX('Budget dashboard'!$J:$J, MATCH(income_header_row + Calculations!D36, 'Budget dashboard'!$X:$X,0)))</f>
        <v>Side Hustle(Net)</v>
      </c>
      <c r="F36" s="76" cm="1">
        <f t="array" aca="1" ref="F36" ca="1">IF(D36&gt;COUNTA(Income[]),"",
  IF(INDEX('Budget dashboard'!$K:$K, MATCH(income_header_row + Calculations!D36, 'Budget dashboard'!$X:$X,0))=0, "",
   INDEX('Budget dashboard'!$K:$K, MATCH(income_header_row + Calculations!D36, 'Budget dashboard'!$X:$X,0))))</f>
        <v>10931.15</v>
      </c>
      <c r="H36" s="73">
        <v>2</v>
      </c>
      <c r="I36" s="73" t="str" cm="1">
        <f t="array" aca="1" ref="I36" ca="1">IF(J36="", "", INDEX('Budget dashboard'!$J:$J, MATCH(expenses_header_row + Calculations!H36, 'Budget dashboard'!$X:$X,0)))</f>
        <v>Groceries</v>
      </c>
      <c r="J36" s="76" cm="1">
        <f t="array" aca="1" ref="J36" ca="1">IF(H36&gt;COUNTA(Expenses[]),"",
  IF(INDEX('Budget dashboard'!$K:$K, MATCH(expenses_header_row + Calculations!H36, 'Budget dashboard'!$X:$X,0))=0, "",
   INDEX('Budget dashboard'!$K:$K, MATCH(expenses_header_row + Calculations!H36, 'Budget dashboard'!$X:$X,0))))</f>
        <v>7300</v>
      </c>
      <c r="L36" s="73">
        <v>2</v>
      </c>
      <c r="M36" s="73" t="str" cm="1">
        <f t="array" aca="1" ref="M36" ca="1">IF(N36="", "", INDEX('Budget dashboard'!$J:$J, MATCH(savings_header_row + Calculations!L36, 'Budget dashboard'!$X:$X,0)))</f>
        <v>Retirement Account</v>
      </c>
      <c r="N36" s="76" cm="1">
        <f t="array" aca="1" ref="N36" ca="1">IF(L36&gt;COUNTA(Savings[]),"",
  IF(INDEX('Budget dashboard'!$K:$K, MATCH(savings_header_row + Calculations!L36, 'Budget dashboard'!$X:$X,0))=0, "",
   INDEX('Budget dashboard'!$K:$K, MATCH(savings_header_row + Calculations!L36, 'Budget dashboard'!$X:$X,0))))</f>
        <v>5849.91</v>
      </c>
    </row>
    <row r="37" spans="4:14" x14ac:dyDescent="0.35">
      <c r="D37" s="73">
        <v>3</v>
      </c>
      <c r="E37" s="73" t="str" cm="1">
        <f t="array" aca="1" ref="E37" ca="1">IF(F37="", "", INDEX('Budget dashboard'!$J:$J, MATCH(income_header_row + Calculations!D37, 'Budget dashboard'!$X:$X,0)))</f>
        <v>Dividents</v>
      </c>
      <c r="F37" s="76" cm="1">
        <f t="array" aca="1" ref="F37" ca="1">IF(D37&gt;COUNTA(Income[]),"",
  IF(INDEX('Budget dashboard'!$K:$K, MATCH(income_header_row + Calculations!D37, 'Budget dashboard'!$X:$X,0))=0, "",
   INDEX('Budget dashboard'!$K:$K, MATCH(income_header_row + Calculations!D37, 'Budget dashboard'!$X:$X,0))))</f>
        <v>2050</v>
      </c>
      <c r="H37" s="73">
        <v>3</v>
      </c>
      <c r="I37" s="73" t="str" cm="1">
        <f t="array" aca="1" ref="I37" ca="1">IF(J37="", "", INDEX('Budget dashboard'!$J:$J, MATCH(expenses_header_row + Calculations!H37, 'Budget dashboard'!$X:$X,0)))</f>
        <v>Technologies</v>
      </c>
      <c r="J37" s="76" cm="1">
        <f t="array" aca="1" ref="J37" ca="1">IF(H37&gt;COUNTA(Expenses[]),"",
  IF(INDEX('Budget dashboard'!$K:$K, MATCH(expenses_header_row + Calculations!H37, 'Budget dashboard'!$X:$X,0))=0, "",
   INDEX('Budget dashboard'!$K:$K, MATCH(expenses_header_row + Calculations!H37, 'Budget dashboard'!$X:$X,0))))</f>
        <v>2800</v>
      </c>
      <c r="L37" s="73">
        <v>3</v>
      </c>
      <c r="M37" s="73" t="str" cm="1">
        <f t="array" aca="1" ref="M37" ca="1">IF(N37="", "", INDEX('Budget dashboard'!$J:$J, MATCH(savings_header_row + Calculations!L37, 'Budget dashboard'!$X:$X,0)))</f>
        <v>Emergency Fund</v>
      </c>
      <c r="N37" s="76" cm="1">
        <f t="array" aca="1" ref="N37" ca="1">IF(L37&gt;COUNTA(Savings[]),"",
  IF(INDEX('Budget dashboard'!$K:$K, MATCH(savings_header_row + Calculations!L37, 'Budget dashboard'!$X:$X,0))=0, "",
   INDEX('Budget dashboard'!$K:$K, MATCH(savings_header_row + Calculations!L37, 'Budget dashboard'!$X:$X,0))))</f>
        <v>5200</v>
      </c>
    </row>
    <row r="38" spans="4:14" x14ac:dyDescent="0.35">
      <c r="D38" s="73">
        <v>4</v>
      </c>
      <c r="E38" s="73" t="str" cm="1">
        <f t="array" aca="1" ref="E38" ca="1">IF(F38="", "", INDEX('Budget dashboard'!$J:$J, MATCH(income_header_row + Calculations!D38, 'Budget dashboard'!$X:$X,0)))</f>
        <v>Other</v>
      </c>
      <c r="F38" s="76" cm="1">
        <f t="array" aca="1" ref="F38" ca="1">IF(D38&gt;COUNTA(Income[]),"",
  IF(INDEX('Budget dashboard'!$K:$K, MATCH(income_header_row + Calculations!D38, 'Budget dashboard'!$X:$X,0))=0, "",
   INDEX('Budget dashboard'!$K:$K, MATCH(income_header_row + Calculations!D38, 'Budget dashboard'!$X:$X,0))))</f>
        <v>1000</v>
      </c>
      <c r="H38" s="73">
        <v>4</v>
      </c>
      <c r="I38" s="73" t="str" cm="1">
        <f t="array" aca="1" ref="I38" ca="1">IF(J38="", "", INDEX('Budget dashboard'!$J:$J, MATCH(expenses_header_row + Calculations!H38, 'Budget dashboard'!$X:$X,0)))</f>
        <v>Transport</v>
      </c>
      <c r="J38" s="76" cm="1">
        <f t="array" aca="1" ref="J38" ca="1">IF(H38&gt;COUNTA(Expenses[]),"",
  IF(INDEX('Budget dashboard'!$K:$K, MATCH(expenses_header_row + Calculations!H38, 'Budget dashboard'!$X:$X,0))=0, "",
   INDEX('Budget dashboard'!$K:$K, MATCH(expenses_header_row + Calculations!H38, 'Budget dashboard'!$X:$X,0))))</f>
        <v>2800</v>
      </c>
      <c r="L38" s="73">
        <v>4</v>
      </c>
      <c r="M38" s="73" t="str" cm="1">
        <f t="array" aca="1" ref="M38" ca="1">IF(N38="", "", INDEX('Budget dashboard'!$J:$J, MATCH(savings_header_row + Calculations!L38, 'Budget dashboard'!$X:$X,0)))</f>
        <v>Other</v>
      </c>
      <c r="N38" s="76" cm="1">
        <f t="array" aca="1" ref="N38" ca="1">IF(L38&gt;COUNTA(Savings[]),"",
  IF(INDEX('Budget dashboard'!$K:$K, MATCH(savings_header_row + Calculations!L38, 'Budget dashboard'!$X:$X,0))=0, "",
   INDEX('Budget dashboard'!$K:$K, MATCH(savings_header_row + Calculations!L38, 'Budget dashboard'!$X:$X,0))))</f>
        <v>850</v>
      </c>
    </row>
    <row r="39" spans="4:14" x14ac:dyDescent="0.35">
      <c r="D39" s="73">
        <v>5</v>
      </c>
      <c r="E39" s="73" t="str" cm="1">
        <f t="array" ref="E39">IF(F39="", "", INDEX('Budget dashboard'!$J:$J, MATCH(income_header_row + Calculations!D39, 'Budget dashboard'!$X:$X,0)))</f>
        <v/>
      </c>
      <c r="F39" s="76" t="str" cm="1">
        <f t="array" ref="F39">IF(D39&gt;COUNTA(Income[]),"",
  IF(INDEX('Budget dashboard'!$K:$K, MATCH(income_header_row + Calculations!D39, 'Budget dashboard'!$X:$X,0))=0, "",
   INDEX('Budget dashboard'!$K:$K, MATCH(income_header_row + Calculations!D39, 'Budget dashboard'!$X:$X,0))))</f>
        <v/>
      </c>
      <c r="H39" s="73">
        <v>5</v>
      </c>
      <c r="I39" s="73" t="str" cm="1">
        <f t="array" aca="1" ref="I39" ca="1">IF(J39="", "", INDEX('Budget dashboard'!$J:$J, MATCH(expenses_header_row + Calculations!H39, 'Budget dashboard'!$X:$X,0)))</f>
        <v>Other</v>
      </c>
      <c r="J39" s="76" cm="1">
        <f t="array" aca="1" ref="J39" ca="1">IF(H39&gt;COUNTA(Expenses[]),"",
  IF(INDEX('Budget dashboard'!$K:$K, MATCH(expenses_header_row + Calculations!H39, 'Budget dashboard'!$X:$X,0))=0, "",
   INDEX('Budget dashboard'!$K:$K, MATCH(expenses_header_row + Calculations!H39, 'Budget dashboard'!$X:$X,0))))</f>
        <v>1100</v>
      </c>
      <c r="L39" s="73">
        <v>5</v>
      </c>
      <c r="M39" s="73" t="str" cm="1">
        <f t="array" ref="M39">IF(N39="", "", INDEX('Budget dashboard'!$J:$J, MATCH(savings_header_row + Calculations!L39, 'Budget dashboard'!$X:$X,0)))</f>
        <v/>
      </c>
      <c r="N39" s="76" t="str" cm="1">
        <f t="array" ref="N39">IF(L39&gt;COUNTA(Savings[]),"",
  IF(INDEX('Budget dashboard'!$K:$K, MATCH(savings_header_row + Calculations!L39, 'Budget dashboard'!$X:$X,0))=0, "",
   INDEX('Budget dashboard'!$K:$K, MATCH(savings_header_row + Calculations!L39, 'Budget dashboard'!$X:$X,0))))</f>
        <v/>
      </c>
    </row>
    <row r="40" spans="4:14" x14ac:dyDescent="0.35">
      <c r="D40" s="74">
        <v>6</v>
      </c>
      <c r="E40" s="74" t="str">
        <f ca="1">IF(F40="", "", "Other")</f>
        <v>Other</v>
      </c>
      <c r="F40" s="77">
        <f ca="1">IF(F41-SUM(F35:F39)=0, "",F41-SUM(F35:F39))</f>
        <v>-7.2759576141834259E-12</v>
      </c>
      <c r="H40" s="74">
        <v>6</v>
      </c>
      <c r="I40" s="74" t="str">
        <f ca="1">IF(J40="", "", "Other")</f>
        <v>Other</v>
      </c>
      <c r="J40" s="77">
        <f ca="1">IF(J41-SUM(J35:J39)=0, "",J41-SUM(J35:J39))</f>
        <v>950</v>
      </c>
      <c r="L40" s="74">
        <v>6</v>
      </c>
      <c r="M40" s="74" t="str">
        <f ca="1">IF(N40="", "", "Other")</f>
        <v/>
      </c>
      <c r="N40" s="77" t="str">
        <f ca="1">IF(N41-SUM(N35:N39)=0, "",N41-SUM(N35:N39))</f>
        <v/>
      </c>
    </row>
    <row r="41" spans="4:14" x14ac:dyDescent="0.35">
      <c r="D41" s="73"/>
      <c r="E41" s="75" t="s">
        <v>6</v>
      </c>
      <c r="F41" s="78" cm="1">
        <f t="array" aca="1" ref="F41" ca="1">INDEX('Budget dashboard'!$K:$K, MATCH(income_total_row, 'Budget dashboard'!$X:$X,0))</f>
        <v>61081.149999999994</v>
      </c>
      <c r="H41" s="73"/>
      <c r="I41" s="75" t="s">
        <v>6</v>
      </c>
      <c r="J41" s="78" cm="1">
        <f t="array" aca="1" ref="J41" ca="1">INDEX('Budget dashboard'!$K:$K, MATCH(expenses_total_row, 'Budget dashboard'!$X:$X,0))</f>
        <v>32350</v>
      </c>
      <c r="L41" s="73"/>
      <c r="M41" s="75" t="s">
        <v>6</v>
      </c>
      <c r="N41" s="78" cm="1">
        <f t="array" aca="1" ref="N41" ca="1">INDEX('Budget dashboard'!$K:$K, MATCH(savings_total_row, 'Budget dashboard'!$X:$X,0))</f>
        <v>17999.91</v>
      </c>
    </row>
    <row r="47" spans="4:14" x14ac:dyDescent="0.35">
      <c r="D47" s="88" t="s">
        <v>78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</row>
    <row r="49" spans="4:18" x14ac:dyDescent="0.35">
      <c r="D49" t="s">
        <v>92</v>
      </c>
      <c r="E49" s="93" t="b">
        <v>1</v>
      </c>
    </row>
    <row r="50" spans="4:18" x14ac:dyDescent="0.35">
      <c r="D50" t="s">
        <v>93</v>
      </c>
      <c r="E50" s="93" t="b">
        <v>1</v>
      </c>
    </row>
    <row r="51" spans="4:18" x14ac:dyDescent="0.35">
      <c r="D51" t="s">
        <v>94</v>
      </c>
      <c r="E51" s="93" t="b">
        <v>1</v>
      </c>
    </row>
    <row r="52" spans="4:18" x14ac:dyDescent="0.35">
      <c r="D52" t="s">
        <v>95</v>
      </c>
      <c r="E52" s="93" t="b">
        <v>1</v>
      </c>
    </row>
    <row r="53" spans="4:18" x14ac:dyDescent="0.35">
      <c r="M53" s="117" t="s">
        <v>87</v>
      </c>
      <c r="N53" s="118"/>
      <c r="O53" s="118"/>
      <c r="P53" s="119" t="s">
        <v>91</v>
      </c>
      <c r="Q53" s="119"/>
      <c r="R53" s="119"/>
    </row>
    <row r="54" spans="4:18" x14ac:dyDescent="0.35">
      <c r="D54" s="89" t="s">
        <v>79</v>
      </c>
      <c r="E54" s="89" t="s">
        <v>23</v>
      </c>
      <c r="F54" s="89" t="s">
        <v>80</v>
      </c>
      <c r="G54" s="89" t="s">
        <v>81</v>
      </c>
      <c r="H54" s="89" t="s">
        <v>82</v>
      </c>
      <c r="I54" s="89" t="s">
        <v>83</v>
      </c>
      <c r="J54" s="89" t="s">
        <v>84</v>
      </c>
      <c r="K54" s="89" t="s">
        <v>85</v>
      </c>
      <c r="L54" s="89" t="s">
        <v>86</v>
      </c>
      <c r="M54" s="89" t="s">
        <v>88</v>
      </c>
      <c r="N54" s="89" t="s">
        <v>89</v>
      </c>
      <c r="O54" s="89" t="s">
        <v>90</v>
      </c>
      <c r="P54" s="89" t="s">
        <v>88</v>
      </c>
      <c r="Q54" s="89" t="s">
        <v>89</v>
      </c>
      <c r="R54" s="89" t="s">
        <v>90</v>
      </c>
    </row>
    <row r="55" spans="4:18" x14ac:dyDescent="0.35">
      <c r="D55" s="120">
        <f>DATE(selected_year,1,1)</f>
        <v>46023</v>
      </c>
      <c r="E55" s="73" t="s">
        <v>4</v>
      </c>
      <c r="F55" s="73">
        <f>MONTH(D55)</f>
        <v>1</v>
      </c>
      <c r="G55" s="73">
        <f>IF(selected_period="Total Year", 1, IF(selected_period=cc_month_number,1,0))</f>
        <v>1</v>
      </c>
      <c r="H55" s="73">
        <f>1*$E$49</f>
        <v>1</v>
      </c>
      <c r="I55" s="73">
        <f>1*$E$52</f>
        <v>1</v>
      </c>
      <c r="J55" s="92" cm="1">
        <f t="array" ref="J55">SUM(Tracking[Amount] * (Tracking[Type]=cc_type) * (YEAR(Tracking[Effective Date])=selected_year) * (MONTH(Tracking[Effective Date])=cc_month_number))</f>
        <v>10531.15</v>
      </c>
      <c r="K55" s="92" cm="1">
        <f t="array" aca="1" ref="K55" ca="1">INDEX('Budget Planning'!$E:$AS, income_total_row,
    MATCH(DATE(selected_year, cc_month_number, 1),'Budget Planning'!$E$9:$AS$9,0) )</f>
        <v>9900</v>
      </c>
      <c r="L55" s="92">
        <f ca="1">cc_budget-cc_tracked</f>
        <v>-631.14999999999964</v>
      </c>
      <c r="M55" s="92">
        <f ca="1">cc_in_focus*cc_show_type*MIN(cc_tracked, cc_budget)</f>
        <v>9900</v>
      </c>
      <c r="N55" s="92">
        <f ca="1">cc_in_focus*cc_show_type*cc_show_rem_budget*IF(cc_delta&gt;0,cc_delta,0)</f>
        <v>0</v>
      </c>
      <c r="O55" s="92">
        <f ca="1">cc_in_focus*cc_show_type*IF(cc_delta&lt;0, ABS(cc_delta),0)</f>
        <v>631.14999999999964</v>
      </c>
      <c r="P55" s="92">
        <f ca="1">NOT(cc_in_focus)*cc_show_type*MIN(cc_tracked, cc_budget)</f>
        <v>0</v>
      </c>
      <c r="Q55" s="92">
        <f ca="1">NOT(cc_in_focus)*cc_show_type*cc_show_rem_budget*IF(cc_delta&gt;0,cc_delta,0)</f>
        <v>0</v>
      </c>
      <c r="R55" s="92">
        <f ca="1">NOT(cc_in_focus)*cc_show_type*IF(cc_delta&lt;0, ABS(cc_delta),0)</f>
        <v>0</v>
      </c>
    </row>
    <row r="56" spans="4:18" x14ac:dyDescent="0.35">
      <c r="D56" s="120"/>
      <c r="E56" s="73" t="s">
        <v>11</v>
      </c>
      <c r="F56" s="73">
        <f>MONTH(D55)</f>
        <v>1</v>
      </c>
      <c r="G56" s="73">
        <f>IF(selected_period="Total Year", 1, IF(selected_period=cc_month_number,1,0))</f>
        <v>1</v>
      </c>
      <c r="H56" s="73">
        <f>1*$E$50</f>
        <v>1</v>
      </c>
      <c r="I56" s="73">
        <f t="shared" ref="I56:I57" si="0">1*$E$52</f>
        <v>1</v>
      </c>
      <c r="J56" s="92" cm="1">
        <f t="array" ref="J56">SUM(Tracking[Amount] * (Tracking[Type]=cc_type) * (YEAR(Tracking[Effective Date])=selected_year) * (MONTH(Tracking[Effective Date])=cc_month_number))</f>
        <v>5200</v>
      </c>
      <c r="K56" s="92" cm="1">
        <f t="array" aca="1" ref="K56" ca="1">INDEX('Budget Planning'!$E:$AS, expenses_total_row,
    MATCH(DATE(selected_year, cc_month_number, 1),'Budget Planning'!$E$9:$AS$9,0) )</f>
        <v>6400</v>
      </c>
      <c r="L56" s="92">
        <f ca="1">cc_budget-cc_tracked</f>
        <v>1200</v>
      </c>
      <c r="M56" s="92">
        <f ca="1">cc_in_focus*cc_show_type*MIN(cc_tracked, cc_budget)</f>
        <v>5200</v>
      </c>
      <c r="N56" s="92">
        <f ca="1">cc_in_focus*cc_show_type*cc_show_rem_budget*IF(cc_delta&gt;0,cc_delta,0)</f>
        <v>1200</v>
      </c>
      <c r="O56" s="92">
        <f ca="1">cc_in_focus*cc_show_type*IF(cc_delta&lt;0, ABS(cc_delta),0)</f>
        <v>0</v>
      </c>
      <c r="P56" s="92">
        <f ca="1">NOT(cc_in_focus)*cc_show_type*MIN(cc_tracked, cc_budget)</f>
        <v>0</v>
      </c>
      <c r="Q56" s="92">
        <f ca="1">NOT(cc_in_focus)*cc_show_type*cc_show_rem_budget*IF(cc_delta&gt;0,cc_delta,0)</f>
        <v>0</v>
      </c>
      <c r="R56" s="92">
        <f ca="1">NOT(cc_in_focus)*cc_show_type*IF(cc_delta&lt;0, ABS(cc_delta),0)</f>
        <v>0</v>
      </c>
    </row>
    <row r="57" spans="4:18" x14ac:dyDescent="0.35">
      <c r="D57" s="120"/>
      <c r="E57" s="73" t="s">
        <v>15</v>
      </c>
      <c r="F57" s="73">
        <f>MONTH(D55)</f>
        <v>1</v>
      </c>
      <c r="G57" s="73">
        <f>IF(selected_period="Total Year", 1, IF(selected_period=cc_month_number,1,0))</f>
        <v>1</v>
      </c>
      <c r="H57" s="73">
        <f>1*$E$51</f>
        <v>1</v>
      </c>
      <c r="I57" s="73">
        <f t="shared" si="0"/>
        <v>1</v>
      </c>
      <c r="J57" s="92" cm="1">
        <f t="array" ref="J57">SUM(Tracking[Amount] * (Tracking[Type]=cc_type) * (YEAR(Tracking[Effective Date])=selected_year) * (MONTH(Tracking[Effective Date])=cc_month_number))</f>
        <v>3950</v>
      </c>
      <c r="K57" s="92" cm="1">
        <f t="array" aca="1" ref="K57" ca="1">INDEX('Budget Planning'!$E:$AS, savings_total_row,
    MATCH(DATE(selected_year, cc_month_number, 1),'Budget Planning'!$E$9:$AS$9,0) )</f>
        <v>3500</v>
      </c>
      <c r="L57" s="92">
        <f ca="1">cc_budget-cc_tracked</f>
        <v>-450</v>
      </c>
      <c r="M57" s="92">
        <f ca="1">cc_in_focus*cc_show_type*MIN(cc_tracked, cc_budget)</f>
        <v>3500</v>
      </c>
      <c r="N57" s="92">
        <f ca="1">cc_in_focus*cc_show_type*cc_show_rem_budget*IF(cc_delta&gt;0,cc_delta,0)</f>
        <v>0</v>
      </c>
      <c r="O57" s="92">
        <f ca="1">cc_in_focus*cc_show_type*IF(cc_delta&lt;0, ABS(cc_delta),0)</f>
        <v>450</v>
      </c>
      <c r="P57" s="92">
        <f ca="1">NOT(cc_in_focus)*cc_show_type*MIN(cc_tracked, cc_budget)</f>
        <v>0</v>
      </c>
      <c r="Q57" s="92">
        <f ca="1">NOT(cc_in_focus)*cc_show_type*cc_show_rem_budget*IF(cc_delta&gt;0,cc_delta,0)</f>
        <v>0</v>
      </c>
      <c r="R57" s="92">
        <f ca="1">NOT(cc_in_focus)*cc_show_type*IF(cc_delta&lt;0, ABS(cc_delta),0)</f>
        <v>0</v>
      </c>
    </row>
    <row r="58" spans="4:18" x14ac:dyDescent="0.35">
      <c r="D58" s="121"/>
      <c r="E58" s="91"/>
      <c r="F58" s="91"/>
      <c r="G58" s="91"/>
      <c r="H58" s="91"/>
      <c r="I58" s="91"/>
      <c r="J58" s="94"/>
      <c r="K58" s="94"/>
      <c r="L58" s="94"/>
      <c r="M58" s="91"/>
      <c r="N58" s="91"/>
      <c r="O58" s="91"/>
      <c r="P58" s="91"/>
      <c r="Q58" s="91"/>
      <c r="R58" s="91"/>
    </row>
    <row r="59" spans="4:18" x14ac:dyDescent="0.35">
      <c r="D59" s="122">
        <f>DATE(selected_year,2,1)</f>
        <v>46054</v>
      </c>
      <c r="E59" s="90" t="s">
        <v>4</v>
      </c>
      <c r="F59" s="73">
        <f t="shared" ref="F59" si="1">MONTH(D59)</f>
        <v>2</v>
      </c>
      <c r="G59" s="73">
        <f>IF(selected_period="Total Year", 1, IF(selected_period=cc_month_number,1,0))</f>
        <v>1</v>
      </c>
      <c r="H59" s="73">
        <f t="shared" ref="H59" si="2">1*$E$49</f>
        <v>1</v>
      </c>
      <c r="I59" s="73">
        <f t="shared" ref="I59:I101" si="3">1*$E$52</f>
        <v>1</v>
      </c>
      <c r="J59" s="92" cm="1">
        <f t="array" ref="J59">SUM(Tracking[Amount] * (Tracking[Type]=cc_type) * (YEAR(Tracking[Effective Date])=selected_year) * (MONTH(Tracking[Effective Date])=cc_month_number))</f>
        <v>12120.560000000001</v>
      </c>
      <c r="K59" s="92" cm="1">
        <f t="array" aca="1" ref="K59" ca="1">INDEX('Budget Planning'!$E:$AS, income_total_row,
    MATCH(DATE(selected_year, cc_month_number, 1),'Budget Planning'!$E$9:$AS$9,0) )</f>
        <v>10600</v>
      </c>
      <c r="L59" s="92">
        <f ca="1">cc_budget-cc_tracked</f>
        <v>-1520.5600000000013</v>
      </c>
      <c r="M59" s="92">
        <f ca="1">cc_in_focus*cc_show_type*MIN(cc_tracked, cc_budget)</f>
        <v>10600</v>
      </c>
      <c r="N59" s="92">
        <f ca="1">cc_in_focus*cc_show_type*cc_show_rem_budget*IF(cc_delta&gt;0,cc_delta,0)</f>
        <v>0</v>
      </c>
      <c r="O59" s="92">
        <f ca="1">cc_in_focus*cc_show_type*IF(cc_delta&lt;0, ABS(cc_delta),0)</f>
        <v>1520.5600000000013</v>
      </c>
      <c r="P59" s="92">
        <f ca="1">NOT(cc_in_focus)*cc_show_type*MIN(cc_tracked, cc_budget)</f>
        <v>0</v>
      </c>
      <c r="Q59" s="92">
        <f ca="1">NOT(cc_in_focus)*cc_show_type*cc_show_rem_budget*IF(cc_delta&gt;0,cc_delta,0)</f>
        <v>0</v>
      </c>
      <c r="R59" s="92">
        <f ca="1">NOT(cc_in_focus)*cc_show_type*IF(cc_delta&lt;0, ABS(cc_delta),0)</f>
        <v>0</v>
      </c>
    </row>
    <row r="60" spans="4:18" x14ac:dyDescent="0.35">
      <c r="D60" s="120"/>
      <c r="E60" s="73" t="s">
        <v>11</v>
      </c>
      <c r="F60" s="73">
        <f t="shared" ref="F60" si="4">MONTH(D59)</f>
        <v>2</v>
      </c>
      <c r="G60" s="73">
        <f>IF(selected_period="Total Year", 1, IF(selected_period=cc_month_number,1,0))</f>
        <v>1</v>
      </c>
      <c r="H60" s="73">
        <f t="shared" ref="H60" si="5">1*$E$50</f>
        <v>1</v>
      </c>
      <c r="I60" s="73">
        <f t="shared" si="3"/>
        <v>1</v>
      </c>
      <c r="J60" s="92" cm="1">
        <f t="array" ref="J60">SUM(Tracking[Amount] * (Tracking[Type]=cc_type) * (YEAR(Tracking[Effective Date])=selected_year) * (MONTH(Tracking[Effective Date])=cc_month_number))</f>
        <v>3700</v>
      </c>
      <c r="K60" s="92" cm="1">
        <f t="array" aca="1" ref="K60" ca="1">INDEX('Budget Planning'!$E:$AS, expenses_total_row,
    MATCH(DATE(selected_year, cc_month_number, 1),'Budget Planning'!$E$9:$AS$9,0) )</f>
        <v>6300</v>
      </c>
      <c r="L60" s="92">
        <f ca="1">cc_budget-cc_tracked</f>
        <v>2600</v>
      </c>
      <c r="M60" s="92">
        <f ca="1">cc_in_focus*cc_show_type*MIN(cc_tracked, cc_budget)</f>
        <v>3700</v>
      </c>
      <c r="N60" s="92">
        <f ca="1">cc_in_focus*cc_show_type*cc_show_rem_budget*IF(cc_delta&gt;0,cc_delta,0)</f>
        <v>2600</v>
      </c>
      <c r="O60" s="92">
        <f ca="1">cc_in_focus*cc_show_type*IF(cc_delta&lt;0, ABS(cc_delta),0)</f>
        <v>0</v>
      </c>
      <c r="P60" s="92">
        <f ca="1">NOT(cc_in_focus)*cc_show_type*MIN(cc_tracked, cc_budget)</f>
        <v>0</v>
      </c>
      <c r="Q60" s="92">
        <f ca="1">NOT(cc_in_focus)*cc_show_type*cc_show_rem_budget*IF(cc_delta&gt;0,cc_delta,0)</f>
        <v>0</v>
      </c>
      <c r="R60" s="92">
        <f ca="1">NOT(cc_in_focus)*cc_show_type*IF(cc_delta&lt;0, ABS(cc_delta),0)</f>
        <v>0</v>
      </c>
    </row>
    <row r="61" spans="4:18" x14ac:dyDescent="0.35">
      <c r="D61" s="120"/>
      <c r="E61" s="73" t="s">
        <v>15</v>
      </c>
      <c r="F61" s="73">
        <f t="shared" ref="F61" si="6">MONTH(D59)</f>
        <v>2</v>
      </c>
      <c r="G61" s="73">
        <f>IF(selected_period="Total Year", 1, IF(selected_period=cc_month_number,1,0))</f>
        <v>1</v>
      </c>
      <c r="H61" s="73">
        <f t="shared" ref="H61" si="7">1*$E$51</f>
        <v>1</v>
      </c>
      <c r="I61" s="73">
        <f t="shared" si="3"/>
        <v>1</v>
      </c>
      <c r="J61" s="92" cm="1">
        <f t="array" ref="J61">SUM(Tracking[Amount] * (Tracking[Type]=cc_type) * (YEAR(Tracking[Effective Date])=selected_year) * (MONTH(Tracking[Effective Date])=cc_month_number))</f>
        <v>4100</v>
      </c>
      <c r="K61" s="92" cm="1">
        <f t="array" aca="1" ref="K61" ca="1">INDEX('Budget Planning'!$E:$AS, savings_total_row,
    MATCH(DATE(selected_year, cc_month_number, 1),'Budget Planning'!$E$9:$AS$9,0) )</f>
        <v>3700</v>
      </c>
      <c r="L61" s="92">
        <f ca="1">cc_budget-cc_tracked</f>
        <v>-400</v>
      </c>
      <c r="M61" s="92">
        <f ca="1">cc_in_focus*cc_show_type*MIN(cc_tracked, cc_budget)</f>
        <v>3700</v>
      </c>
      <c r="N61" s="92">
        <f ca="1">cc_in_focus*cc_show_type*cc_show_rem_budget*IF(cc_delta&gt;0,cc_delta,0)</f>
        <v>0</v>
      </c>
      <c r="O61" s="92">
        <f ca="1">cc_in_focus*cc_show_type*IF(cc_delta&lt;0, ABS(cc_delta),0)</f>
        <v>400</v>
      </c>
      <c r="P61" s="92">
        <f ca="1">NOT(cc_in_focus)*cc_show_type*MIN(cc_tracked, cc_budget)</f>
        <v>0</v>
      </c>
      <c r="Q61" s="92">
        <f ca="1">NOT(cc_in_focus)*cc_show_type*cc_show_rem_budget*IF(cc_delta&gt;0,cc_delta,0)</f>
        <v>0</v>
      </c>
      <c r="R61" s="92">
        <f ca="1">NOT(cc_in_focus)*cc_show_type*IF(cc_delta&lt;0, ABS(cc_delta),0)</f>
        <v>0</v>
      </c>
    </row>
    <row r="62" spans="4:18" x14ac:dyDescent="0.35">
      <c r="D62" s="121"/>
      <c r="E62" s="91"/>
      <c r="F62" s="91"/>
      <c r="G62" s="91"/>
      <c r="H62" s="91"/>
      <c r="I62" s="91"/>
      <c r="J62" s="94"/>
      <c r="K62" s="94"/>
      <c r="L62" s="94"/>
      <c r="M62" s="91"/>
      <c r="N62" s="91"/>
      <c r="O62" s="91"/>
      <c r="P62" s="91"/>
      <c r="Q62" s="91"/>
      <c r="R62" s="91"/>
    </row>
    <row r="63" spans="4:18" x14ac:dyDescent="0.35">
      <c r="D63" s="122">
        <f>DATE(selected_year,3,1)</f>
        <v>46082</v>
      </c>
      <c r="E63" s="90" t="s">
        <v>4</v>
      </c>
      <c r="F63" s="73">
        <f t="shared" ref="F63" si="8">MONTH(D63)</f>
        <v>3</v>
      </c>
      <c r="G63" s="73">
        <f>IF(selected_period="Total Year", 1, IF(selected_period=cc_month_number,1,0))</f>
        <v>1</v>
      </c>
      <c r="H63" s="73">
        <f t="shared" ref="H63" si="9">1*$E$49</f>
        <v>1</v>
      </c>
      <c r="I63" s="73">
        <f t="shared" ref="I63" si="10">1*$E$52</f>
        <v>1</v>
      </c>
      <c r="J63" s="92" cm="1">
        <f t="array" ref="J63">SUM(Tracking[Amount] * (Tracking[Type]=cc_type) * (YEAR(Tracking[Effective Date])=selected_year) * (MONTH(Tracking[Effective Date])=cc_month_number))</f>
        <v>6297.8499999999995</v>
      </c>
      <c r="K63" s="92" cm="1">
        <f t="array" aca="1" ref="K63" ca="1">INDEX('Budget Planning'!$E:$AS, income_total_row,
    MATCH(DATE(selected_year, cc_month_number, 1),'Budget Planning'!$E$9:$AS$9,0) )</f>
        <v>12350</v>
      </c>
      <c r="L63" s="92">
        <f ca="1">cc_budget-cc_tracked</f>
        <v>6052.1500000000005</v>
      </c>
      <c r="M63" s="92">
        <f ca="1">cc_in_focus*cc_show_type*MIN(cc_tracked, cc_budget)</f>
        <v>6297.8499999999995</v>
      </c>
      <c r="N63" s="92">
        <f ca="1">cc_in_focus*cc_show_type*cc_show_rem_budget*IF(cc_delta&gt;0,cc_delta,0)</f>
        <v>6052.1500000000005</v>
      </c>
      <c r="O63" s="92">
        <f ca="1">cc_in_focus*cc_show_type*IF(cc_delta&lt;0, ABS(cc_delta),0)</f>
        <v>0</v>
      </c>
      <c r="P63" s="92">
        <f ca="1">NOT(cc_in_focus)*cc_show_type*MIN(cc_tracked, cc_budget)</f>
        <v>0</v>
      </c>
      <c r="Q63" s="92">
        <f ca="1">NOT(cc_in_focus)*cc_show_type*cc_show_rem_budget*IF(cc_delta&gt;0,cc_delta,0)</f>
        <v>0</v>
      </c>
      <c r="R63" s="92">
        <f ca="1">NOT(cc_in_focus)*cc_show_type*IF(cc_delta&lt;0, ABS(cc_delta),0)</f>
        <v>0</v>
      </c>
    </row>
    <row r="64" spans="4:18" x14ac:dyDescent="0.35">
      <c r="D64" s="120"/>
      <c r="E64" s="73" t="s">
        <v>11</v>
      </c>
      <c r="F64" s="73">
        <f t="shared" ref="F64" si="11">MONTH(D63)</f>
        <v>3</v>
      </c>
      <c r="G64" s="73">
        <f>IF(selected_period="Total Year", 1, IF(selected_period=cc_month_number,1,0))</f>
        <v>1</v>
      </c>
      <c r="H64" s="73">
        <f t="shared" ref="H64" si="12">1*$E$50</f>
        <v>1</v>
      </c>
      <c r="I64" s="73">
        <f t="shared" si="3"/>
        <v>1</v>
      </c>
      <c r="J64" s="92" cm="1">
        <f t="array" ref="J64">SUM(Tracking[Amount] * (Tracking[Type]=cc_type) * (YEAR(Tracking[Effective Date])=selected_year) * (MONTH(Tracking[Effective Date])=cc_month_number))</f>
        <v>7300</v>
      </c>
      <c r="K64" s="92" cm="1">
        <f t="array" aca="1" ref="K64" ca="1">INDEX('Budget Planning'!$E:$AS, expenses_total_row,
    MATCH(DATE(selected_year, cc_month_number, 1),'Budget Planning'!$E$9:$AS$9,0) )</f>
        <v>8250</v>
      </c>
      <c r="L64" s="92">
        <f ca="1">cc_budget-cc_tracked</f>
        <v>950</v>
      </c>
      <c r="M64" s="92">
        <f ca="1">cc_in_focus*cc_show_type*MIN(cc_tracked, cc_budget)</f>
        <v>7300</v>
      </c>
      <c r="N64" s="92">
        <f ca="1">cc_in_focus*cc_show_type*cc_show_rem_budget*IF(cc_delta&gt;0,cc_delta,0)</f>
        <v>950</v>
      </c>
      <c r="O64" s="92">
        <f ca="1">cc_in_focus*cc_show_type*IF(cc_delta&lt;0, ABS(cc_delta),0)</f>
        <v>0</v>
      </c>
      <c r="P64" s="92">
        <f ca="1">NOT(cc_in_focus)*cc_show_type*MIN(cc_tracked, cc_budget)</f>
        <v>0</v>
      </c>
      <c r="Q64" s="92">
        <f ca="1">NOT(cc_in_focus)*cc_show_type*cc_show_rem_budget*IF(cc_delta&gt;0,cc_delta,0)</f>
        <v>0</v>
      </c>
      <c r="R64" s="92">
        <f ca="1">NOT(cc_in_focus)*cc_show_type*IF(cc_delta&lt;0, ABS(cc_delta),0)</f>
        <v>0</v>
      </c>
    </row>
    <row r="65" spans="4:18" x14ac:dyDescent="0.35">
      <c r="D65" s="120"/>
      <c r="E65" s="73" t="s">
        <v>15</v>
      </c>
      <c r="F65" s="73">
        <f t="shared" ref="F65" si="13">MONTH(D63)</f>
        <v>3</v>
      </c>
      <c r="G65" s="73">
        <f>IF(selected_period="Total Year", 1, IF(selected_period=cc_month_number,1,0))</f>
        <v>1</v>
      </c>
      <c r="H65" s="73">
        <f t="shared" ref="H65" si="14">1*$E$51</f>
        <v>1</v>
      </c>
      <c r="I65" s="73">
        <f t="shared" si="3"/>
        <v>1</v>
      </c>
      <c r="J65" s="92" cm="1">
        <f t="array" ref="J65">SUM(Tracking[Amount] * (Tracking[Type]=cc_type) * (YEAR(Tracking[Effective Date])=selected_year) * (MONTH(Tracking[Effective Date])=cc_month_number))</f>
        <v>2600</v>
      </c>
      <c r="K65" s="92" cm="1">
        <f t="array" aca="1" ref="K65" ca="1">INDEX('Budget Planning'!$E:$AS, savings_total_row,
    MATCH(DATE(selected_year, cc_month_number, 1),'Budget Planning'!$E$9:$AS$9,0) )</f>
        <v>3750</v>
      </c>
      <c r="L65" s="92">
        <f ca="1">cc_budget-cc_tracked</f>
        <v>1150</v>
      </c>
      <c r="M65" s="92">
        <f ca="1">cc_in_focus*cc_show_type*MIN(cc_tracked, cc_budget)</f>
        <v>2600</v>
      </c>
      <c r="N65" s="92">
        <f ca="1">cc_in_focus*cc_show_type*cc_show_rem_budget*IF(cc_delta&gt;0,cc_delta,0)</f>
        <v>1150</v>
      </c>
      <c r="O65" s="92">
        <f ca="1">cc_in_focus*cc_show_type*IF(cc_delta&lt;0, ABS(cc_delta),0)</f>
        <v>0</v>
      </c>
      <c r="P65" s="92">
        <f ca="1">NOT(cc_in_focus)*cc_show_type*MIN(cc_tracked, cc_budget)</f>
        <v>0</v>
      </c>
      <c r="Q65" s="92">
        <f ca="1">NOT(cc_in_focus)*cc_show_type*cc_show_rem_budget*IF(cc_delta&gt;0,cc_delta,0)</f>
        <v>0</v>
      </c>
      <c r="R65" s="92">
        <f ca="1">NOT(cc_in_focus)*cc_show_type*IF(cc_delta&lt;0, ABS(cc_delta),0)</f>
        <v>0</v>
      </c>
    </row>
    <row r="66" spans="4:18" x14ac:dyDescent="0.35">
      <c r="D66" s="121"/>
      <c r="E66" s="91"/>
      <c r="F66" s="91"/>
      <c r="G66" s="91"/>
      <c r="H66" s="91"/>
      <c r="I66" s="91"/>
      <c r="J66" s="94"/>
      <c r="K66" s="94"/>
      <c r="L66" s="94"/>
      <c r="M66" s="91"/>
      <c r="N66" s="91"/>
      <c r="O66" s="91"/>
      <c r="P66" s="91"/>
      <c r="Q66" s="91"/>
      <c r="R66" s="91"/>
    </row>
    <row r="67" spans="4:18" x14ac:dyDescent="0.35">
      <c r="D67" s="122">
        <f>DATE(selected_year,4,1)</f>
        <v>46113</v>
      </c>
      <c r="E67" s="90" t="s">
        <v>4</v>
      </c>
      <c r="F67" s="73">
        <f t="shared" ref="F67" si="15">MONTH(D67)</f>
        <v>4</v>
      </c>
      <c r="G67" s="73">
        <f>IF(selected_period="Total Year", 1, IF(selected_period=cc_month_number,1,0))</f>
        <v>1</v>
      </c>
      <c r="H67" s="73">
        <f t="shared" ref="H67" si="16">1*$E$49</f>
        <v>1</v>
      </c>
      <c r="I67" s="73">
        <f t="shared" ref="I67" si="17">1*$E$52</f>
        <v>1</v>
      </c>
      <c r="J67" s="92" cm="1">
        <f t="array" ref="J67">SUM(Tracking[Amount] * (Tracking[Type]=cc_type) * (YEAR(Tracking[Effective Date])=selected_year) * (MONTH(Tracking[Effective Date])=cc_month_number))</f>
        <v>13585.369999999999</v>
      </c>
      <c r="K67" s="92" cm="1">
        <f t="array" aca="1" ref="K67" ca="1">INDEX('Budget Planning'!$E:$AS, income_total_row,
    MATCH(DATE(selected_year, cc_month_number, 1),'Budget Planning'!$E$9:$AS$9,0) )</f>
        <v>10700</v>
      </c>
      <c r="L67" s="92">
        <f ca="1">cc_budget-cc_tracked</f>
        <v>-2885.369999999999</v>
      </c>
      <c r="M67" s="92">
        <f ca="1">cc_in_focus*cc_show_type*MIN(cc_tracked, cc_budget)</f>
        <v>10700</v>
      </c>
      <c r="N67" s="92">
        <f ca="1">cc_in_focus*cc_show_type*cc_show_rem_budget*IF(cc_delta&gt;0,cc_delta,0)</f>
        <v>0</v>
      </c>
      <c r="O67" s="92">
        <f ca="1">cc_in_focus*cc_show_type*IF(cc_delta&lt;0, ABS(cc_delta),0)</f>
        <v>2885.369999999999</v>
      </c>
      <c r="P67" s="92">
        <f ca="1">NOT(cc_in_focus)*cc_show_type*MIN(cc_tracked, cc_budget)</f>
        <v>0</v>
      </c>
      <c r="Q67" s="92">
        <f ca="1">NOT(cc_in_focus)*cc_show_type*cc_show_rem_budget*IF(cc_delta&gt;0,cc_delta,0)</f>
        <v>0</v>
      </c>
      <c r="R67" s="92">
        <f ca="1">NOT(cc_in_focus)*cc_show_type*IF(cc_delta&lt;0, ABS(cc_delta),0)</f>
        <v>0</v>
      </c>
    </row>
    <row r="68" spans="4:18" x14ac:dyDescent="0.35">
      <c r="D68" s="120"/>
      <c r="E68" s="73" t="s">
        <v>11</v>
      </c>
      <c r="F68" s="73">
        <f t="shared" ref="F68" si="18">MONTH(D67)</f>
        <v>4</v>
      </c>
      <c r="G68" s="73">
        <f>IF(selected_period="Total Year", 1, IF(selected_period=cc_month_number,1,0))</f>
        <v>1</v>
      </c>
      <c r="H68" s="73">
        <f t="shared" ref="H68" si="19">1*$E$50</f>
        <v>1</v>
      </c>
      <c r="I68" s="73">
        <f t="shared" si="3"/>
        <v>1</v>
      </c>
      <c r="J68" s="92" cm="1">
        <f t="array" ref="J68">SUM(Tracking[Amount] * (Tracking[Type]=cc_type) * (YEAR(Tracking[Effective Date])=selected_year) * (MONTH(Tracking[Effective Date])=cc_month_number))</f>
        <v>7150</v>
      </c>
      <c r="K68" s="92" cm="1">
        <f t="array" aca="1" ref="K68" ca="1">INDEX('Budget Planning'!$E:$AS, expenses_total_row,
    MATCH(DATE(selected_year, cc_month_number, 1),'Budget Planning'!$E$9:$AS$9,0) )</f>
        <v>6500</v>
      </c>
      <c r="L68" s="92">
        <f ca="1">cc_budget-cc_tracked</f>
        <v>-650</v>
      </c>
      <c r="M68" s="92">
        <f ca="1">cc_in_focus*cc_show_type*MIN(cc_tracked, cc_budget)</f>
        <v>6500</v>
      </c>
      <c r="N68" s="92">
        <f ca="1">cc_in_focus*cc_show_type*cc_show_rem_budget*IF(cc_delta&gt;0,cc_delta,0)</f>
        <v>0</v>
      </c>
      <c r="O68" s="92">
        <f ca="1">cc_in_focus*cc_show_type*IF(cc_delta&lt;0, ABS(cc_delta),0)</f>
        <v>650</v>
      </c>
      <c r="P68" s="92">
        <f ca="1">NOT(cc_in_focus)*cc_show_type*MIN(cc_tracked, cc_budget)</f>
        <v>0</v>
      </c>
      <c r="Q68" s="92">
        <f ca="1">NOT(cc_in_focus)*cc_show_type*cc_show_rem_budget*IF(cc_delta&gt;0,cc_delta,0)</f>
        <v>0</v>
      </c>
      <c r="R68" s="92">
        <f ca="1">NOT(cc_in_focus)*cc_show_type*IF(cc_delta&lt;0, ABS(cc_delta),0)</f>
        <v>0</v>
      </c>
    </row>
    <row r="69" spans="4:18" x14ac:dyDescent="0.35">
      <c r="D69" s="120"/>
      <c r="E69" s="73" t="s">
        <v>15</v>
      </c>
      <c r="F69" s="73">
        <f t="shared" ref="F69" si="20">MONTH(D67)</f>
        <v>4</v>
      </c>
      <c r="G69" s="73">
        <f>IF(selected_period="Total Year", 1, IF(selected_period=cc_month_number,1,0))</f>
        <v>1</v>
      </c>
      <c r="H69" s="73">
        <f t="shared" ref="H69" si="21">1*$E$51</f>
        <v>1</v>
      </c>
      <c r="I69" s="73">
        <f t="shared" si="3"/>
        <v>1</v>
      </c>
      <c r="J69" s="92" cm="1">
        <f t="array" ref="J69">SUM(Tracking[Amount] * (Tracking[Type]=cc_type) * (YEAR(Tracking[Effective Date])=selected_year) * (MONTH(Tracking[Effective Date])=cc_month_number))</f>
        <v>3628.61</v>
      </c>
      <c r="K69" s="92" cm="1">
        <f t="array" aca="1" ref="K69" ca="1">INDEX('Budget Planning'!$E:$AS, savings_total_row,
    MATCH(DATE(selected_year, cc_month_number, 1),'Budget Planning'!$E$9:$AS$9,0) )</f>
        <v>3550</v>
      </c>
      <c r="L69" s="92">
        <f ca="1">cc_budget-cc_tracked</f>
        <v>-78.610000000000127</v>
      </c>
      <c r="M69" s="92">
        <f ca="1">cc_in_focus*cc_show_type*MIN(cc_tracked, cc_budget)</f>
        <v>3550</v>
      </c>
      <c r="N69" s="92">
        <f ca="1">cc_in_focus*cc_show_type*cc_show_rem_budget*IF(cc_delta&gt;0,cc_delta,0)</f>
        <v>0</v>
      </c>
      <c r="O69" s="92">
        <f ca="1">cc_in_focus*cc_show_type*IF(cc_delta&lt;0, ABS(cc_delta),0)</f>
        <v>78.610000000000127</v>
      </c>
      <c r="P69" s="92">
        <f ca="1">NOT(cc_in_focus)*cc_show_type*MIN(cc_tracked, cc_budget)</f>
        <v>0</v>
      </c>
      <c r="Q69" s="92">
        <f ca="1">NOT(cc_in_focus)*cc_show_type*cc_show_rem_budget*IF(cc_delta&gt;0,cc_delta,0)</f>
        <v>0</v>
      </c>
      <c r="R69" s="92">
        <f ca="1">NOT(cc_in_focus)*cc_show_type*IF(cc_delta&lt;0, ABS(cc_delta),0)</f>
        <v>0</v>
      </c>
    </row>
    <row r="70" spans="4:18" x14ac:dyDescent="0.35">
      <c r="D70" s="121"/>
      <c r="E70" s="91"/>
      <c r="F70" s="91"/>
      <c r="G70" s="91"/>
      <c r="H70" s="91"/>
      <c r="I70" s="91"/>
      <c r="J70" s="94"/>
      <c r="K70" s="94"/>
      <c r="L70" s="94"/>
      <c r="M70" s="91"/>
      <c r="N70" s="91"/>
      <c r="O70" s="91"/>
      <c r="P70" s="91"/>
      <c r="Q70" s="91"/>
      <c r="R70" s="91"/>
    </row>
    <row r="71" spans="4:18" x14ac:dyDescent="0.35">
      <c r="D71" s="122">
        <f>DATE(selected_year,5,1)</f>
        <v>46143</v>
      </c>
      <c r="E71" s="90" t="s">
        <v>4</v>
      </c>
      <c r="F71" s="73">
        <f t="shared" ref="F71" si="22">MONTH(D71)</f>
        <v>5</v>
      </c>
      <c r="G71" s="73">
        <f>IF(selected_period="Total Year", 1, IF(selected_period=cc_month_number,1,0))</f>
        <v>1</v>
      </c>
      <c r="H71" s="73">
        <f t="shared" ref="H71" si="23">1*$E$49</f>
        <v>1</v>
      </c>
      <c r="I71" s="73">
        <f t="shared" ref="I71" si="24">1*$E$52</f>
        <v>1</v>
      </c>
      <c r="J71" s="92" cm="1">
        <f t="array" ref="J71">SUM(Tracking[Amount] * (Tracking[Type]=cc_type) * (YEAR(Tracking[Effective Date])=selected_year) * (MONTH(Tracking[Effective Date])=cc_month_number))</f>
        <v>16690.12</v>
      </c>
      <c r="K71" s="92" cm="1">
        <f t="array" aca="1" ref="K71" ca="1">INDEX('Budget Planning'!$E:$AS, income_total_row,
    MATCH(DATE(selected_year, cc_month_number, 1),'Budget Planning'!$E$9:$AS$9,0) )</f>
        <v>11400</v>
      </c>
      <c r="L71" s="92">
        <f ca="1">cc_budget-cc_tracked</f>
        <v>-5290.119999999999</v>
      </c>
      <c r="M71" s="92">
        <f ca="1">cc_in_focus*cc_show_type*MIN(cc_tracked, cc_budget)</f>
        <v>11400</v>
      </c>
      <c r="N71" s="92">
        <f ca="1">cc_in_focus*cc_show_type*cc_show_rem_budget*IF(cc_delta&gt;0,cc_delta,0)</f>
        <v>0</v>
      </c>
      <c r="O71" s="92">
        <f ca="1">cc_in_focus*cc_show_type*IF(cc_delta&lt;0, ABS(cc_delta),0)</f>
        <v>5290.119999999999</v>
      </c>
      <c r="P71" s="92">
        <f ca="1">NOT(cc_in_focus)*cc_show_type*MIN(cc_tracked, cc_budget)</f>
        <v>0</v>
      </c>
      <c r="Q71" s="92">
        <f ca="1">NOT(cc_in_focus)*cc_show_type*cc_show_rem_budget*IF(cc_delta&gt;0,cc_delta,0)</f>
        <v>0</v>
      </c>
      <c r="R71" s="92">
        <f ca="1">NOT(cc_in_focus)*cc_show_type*IF(cc_delta&lt;0, ABS(cc_delta),0)</f>
        <v>0</v>
      </c>
    </row>
    <row r="72" spans="4:18" x14ac:dyDescent="0.35">
      <c r="D72" s="120"/>
      <c r="E72" s="73" t="s">
        <v>11</v>
      </c>
      <c r="F72" s="73">
        <f t="shared" ref="F72" si="25">MONTH(D71)</f>
        <v>5</v>
      </c>
      <c r="G72" s="73">
        <f>IF(selected_period="Total Year", 1, IF(selected_period=cc_month_number,1,0))</f>
        <v>1</v>
      </c>
      <c r="H72" s="73">
        <f t="shared" ref="H72" si="26">1*$E$50</f>
        <v>1</v>
      </c>
      <c r="I72" s="73">
        <f t="shared" si="3"/>
        <v>1</v>
      </c>
      <c r="J72" s="92" cm="1">
        <f t="array" ref="J72">SUM(Tracking[Amount] * (Tracking[Type]=cc_type) * (YEAR(Tracking[Effective Date])=selected_year) * (MONTH(Tracking[Effective Date])=cc_month_number))</f>
        <v>9000</v>
      </c>
      <c r="K72" s="92" cm="1">
        <f t="array" aca="1" ref="K72" ca="1">INDEX('Budget Planning'!$E:$AS, expenses_total_row,
    MATCH(DATE(selected_year, cc_month_number, 1),'Budget Planning'!$E$9:$AS$9,0) )</f>
        <v>6950</v>
      </c>
      <c r="L72" s="92">
        <f ca="1">cc_budget-cc_tracked</f>
        <v>-2050</v>
      </c>
      <c r="M72" s="92">
        <f ca="1">cc_in_focus*cc_show_type*MIN(cc_tracked, cc_budget)</f>
        <v>6950</v>
      </c>
      <c r="N72" s="92">
        <f ca="1">cc_in_focus*cc_show_type*cc_show_rem_budget*IF(cc_delta&gt;0,cc_delta,0)</f>
        <v>0</v>
      </c>
      <c r="O72" s="92">
        <f ca="1">cc_in_focus*cc_show_type*IF(cc_delta&lt;0, ABS(cc_delta),0)</f>
        <v>2050</v>
      </c>
      <c r="P72" s="92">
        <f ca="1">NOT(cc_in_focus)*cc_show_type*MIN(cc_tracked, cc_budget)</f>
        <v>0</v>
      </c>
      <c r="Q72" s="92">
        <f ca="1">NOT(cc_in_focus)*cc_show_type*cc_show_rem_budget*IF(cc_delta&gt;0,cc_delta,0)</f>
        <v>0</v>
      </c>
      <c r="R72" s="92">
        <f ca="1">NOT(cc_in_focus)*cc_show_type*IF(cc_delta&lt;0, ABS(cc_delta),0)</f>
        <v>0</v>
      </c>
    </row>
    <row r="73" spans="4:18" x14ac:dyDescent="0.35">
      <c r="D73" s="120"/>
      <c r="E73" s="73" t="s">
        <v>15</v>
      </c>
      <c r="F73" s="73">
        <f t="shared" ref="F73" si="27">MONTH(D71)</f>
        <v>5</v>
      </c>
      <c r="G73" s="73">
        <f>IF(selected_period="Total Year", 1, IF(selected_period=cc_month_number,1,0))</f>
        <v>1</v>
      </c>
      <c r="H73" s="73">
        <f t="shared" ref="H73" si="28">1*$E$51</f>
        <v>1</v>
      </c>
      <c r="I73" s="73">
        <f t="shared" si="3"/>
        <v>1</v>
      </c>
      <c r="J73" s="92" cm="1">
        <f t="array" ref="J73">SUM(Tracking[Amount] * (Tracking[Type]=cc_type) * (YEAR(Tracking[Effective Date])=selected_year) * (MONTH(Tracking[Effective Date])=cc_month_number))</f>
        <v>3721.3</v>
      </c>
      <c r="K73" s="92" cm="1">
        <f t="array" aca="1" ref="K73" ca="1">INDEX('Budget Planning'!$E:$AS, savings_total_row,
    MATCH(DATE(selected_year, cc_month_number, 1),'Budget Planning'!$E$9:$AS$9,0) )</f>
        <v>3800</v>
      </c>
      <c r="L73" s="92">
        <f ca="1">cc_budget-cc_tracked</f>
        <v>78.699999999999818</v>
      </c>
      <c r="M73" s="92">
        <f ca="1">cc_in_focus*cc_show_type*MIN(cc_tracked, cc_budget)</f>
        <v>3721.3</v>
      </c>
      <c r="N73" s="92">
        <f ca="1">cc_in_focus*cc_show_type*cc_show_rem_budget*IF(cc_delta&gt;0,cc_delta,0)</f>
        <v>78.699999999999818</v>
      </c>
      <c r="O73" s="92">
        <f ca="1">cc_in_focus*cc_show_type*IF(cc_delta&lt;0, ABS(cc_delta),0)</f>
        <v>0</v>
      </c>
      <c r="P73" s="92">
        <f ca="1">NOT(cc_in_focus)*cc_show_type*MIN(cc_tracked, cc_budget)</f>
        <v>0</v>
      </c>
      <c r="Q73" s="92">
        <f ca="1">NOT(cc_in_focus)*cc_show_type*cc_show_rem_budget*IF(cc_delta&gt;0,cc_delta,0)</f>
        <v>0</v>
      </c>
      <c r="R73" s="92">
        <f ca="1">NOT(cc_in_focus)*cc_show_type*IF(cc_delta&lt;0, ABS(cc_delta),0)</f>
        <v>0</v>
      </c>
    </row>
    <row r="74" spans="4:18" x14ac:dyDescent="0.35">
      <c r="D74" s="121"/>
      <c r="E74" s="91"/>
      <c r="F74" s="91"/>
      <c r="G74" s="91"/>
      <c r="H74" s="91"/>
      <c r="I74" s="91"/>
      <c r="J74" s="94"/>
      <c r="K74" s="94"/>
      <c r="L74" s="94"/>
      <c r="M74" s="91"/>
      <c r="N74" s="91"/>
      <c r="O74" s="91"/>
      <c r="P74" s="91"/>
      <c r="Q74" s="91"/>
      <c r="R74" s="91"/>
    </row>
    <row r="75" spans="4:18" x14ac:dyDescent="0.35">
      <c r="D75" s="122">
        <f>DATE(selected_year,6,1)</f>
        <v>46174</v>
      </c>
      <c r="E75" s="90" t="s">
        <v>4</v>
      </c>
      <c r="F75" s="73">
        <f t="shared" ref="F75" si="29">MONTH(D75)</f>
        <v>6</v>
      </c>
      <c r="G75" s="73">
        <f>IF(selected_period="Total Year", 1, IF(selected_period=cc_month_number,1,0))</f>
        <v>1</v>
      </c>
      <c r="H75" s="73">
        <f t="shared" ref="H75" si="30">1*$E$49</f>
        <v>1</v>
      </c>
      <c r="I75" s="73">
        <f t="shared" ref="I75" si="31">1*$E$52</f>
        <v>1</v>
      </c>
      <c r="J75" s="92" cm="1">
        <f t="array" ref="J75">SUM(Tracking[Amount] * (Tracking[Type]=cc_type) * (YEAR(Tracking[Effective Date])=selected_year) * (MONTH(Tracking[Effective Date])=cc_month_number))</f>
        <v>1856.1</v>
      </c>
      <c r="K75" s="92" cm="1">
        <f t="array" aca="1" ref="K75" ca="1">INDEX('Budget Planning'!$E:$AS, income_total_row,
    MATCH(DATE(selected_year, cc_month_number, 1),'Budget Planning'!$E$9:$AS$9,0) )</f>
        <v>12550</v>
      </c>
      <c r="L75" s="92">
        <f ca="1">cc_budget-cc_tracked</f>
        <v>10693.9</v>
      </c>
      <c r="M75" s="92">
        <f ca="1">cc_in_focus*cc_show_type*MIN(cc_tracked, cc_budget)</f>
        <v>1856.1</v>
      </c>
      <c r="N75" s="92">
        <f ca="1">cc_in_focus*cc_show_type*cc_show_rem_budget*IF(cc_delta&gt;0,cc_delta,0)</f>
        <v>10693.9</v>
      </c>
      <c r="O75" s="92">
        <f ca="1">cc_in_focus*cc_show_type*IF(cc_delta&lt;0, ABS(cc_delta),0)</f>
        <v>0</v>
      </c>
      <c r="P75" s="92">
        <f ca="1">NOT(cc_in_focus)*cc_show_type*MIN(cc_tracked, cc_budget)</f>
        <v>0</v>
      </c>
      <c r="Q75" s="92">
        <f ca="1">NOT(cc_in_focus)*cc_show_type*cc_show_rem_budget*IF(cc_delta&gt;0,cc_delta,0)</f>
        <v>0</v>
      </c>
      <c r="R75" s="92">
        <f ca="1">NOT(cc_in_focus)*cc_show_type*IF(cc_delta&lt;0, ABS(cc_delta),0)</f>
        <v>0</v>
      </c>
    </row>
    <row r="76" spans="4:18" x14ac:dyDescent="0.35">
      <c r="D76" s="120"/>
      <c r="E76" s="73" t="s">
        <v>11</v>
      </c>
      <c r="F76" s="73">
        <f t="shared" ref="F76" si="32">MONTH(D75)</f>
        <v>6</v>
      </c>
      <c r="G76" s="73">
        <f>IF(selected_period="Total Year", 1, IF(selected_period=cc_month_number,1,0))</f>
        <v>1</v>
      </c>
      <c r="H76" s="73">
        <f t="shared" ref="H76" si="33">1*$E$50</f>
        <v>1</v>
      </c>
      <c r="I76" s="73">
        <f t="shared" si="3"/>
        <v>1</v>
      </c>
      <c r="J76" s="92" cm="1">
        <f t="array" ref="J76">SUM(Tracking[Amount] * (Tracking[Type]=cc_type) * (YEAR(Tracking[Effective Date])=selected_year) * (MONTH(Tracking[Effective Date])=cc_month_number))</f>
        <v>0</v>
      </c>
      <c r="K76" s="92" cm="1">
        <f t="array" aca="1" ref="K76" ca="1">INDEX('Budget Planning'!$E:$AS, expenses_total_row,
    MATCH(DATE(selected_year, cc_month_number, 1),'Budget Planning'!$E$9:$AS$9,0) )</f>
        <v>6300</v>
      </c>
      <c r="L76" s="92">
        <f ca="1">cc_budget-cc_tracked</f>
        <v>6300</v>
      </c>
      <c r="M76" s="92">
        <f ca="1">cc_in_focus*cc_show_type*MIN(cc_tracked, cc_budget)</f>
        <v>0</v>
      </c>
      <c r="N76" s="92">
        <f ca="1">cc_in_focus*cc_show_type*cc_show_rem_budget*IF(cc_delta&gt;0,cc_delta,0)</f>
        <v>6300</v>
      </c>
      <c r="O76" s="92">
        <f ca="1">cc_in_focus*cc_show_type*IF(cc_delta&lt;0, ABS(cc_delta),0)</f>
        <v>0</v>
      </c>
      <c r="P76" s="92">
        <f ca="1">NOT(cc_in_focus)*cc_show_type*MIN(cc_tracked, cc_budget)</f>
        <v>0</v>
      </c>
      <c r="Q76" s="92">
        <f ca="1">NOT(cc_in_focus)*cc_show_type*cc_show_rem_budget*IF(cc_delta&gt;0,cc_delta,0)</f>
        <v>0</v>
      </c>
      <c r="R76" s="92">
        <f ca="1">NOT(cc_in_focus)*cc_show_type*IF(cc_delta&lt;0, ABS(cc_delta),0)</f>
        <v>0</v>
      </c>
    </row>
    <row r="77" spans="4:18" x14ac:dyDescent="0.35">
      <c r="D77" s="120"/>
      <c r="E77" s="73" t="s">
        <v>15</v>
      </c>
      <c r="F77" s="73">
        <f t="shared" ref="F77" si="34">MONTH(D75)</f>
        <v>6</v>
      </c>
      <c r="G77" s="73">
        <f>IF(selected_period="Total Year", 1, IF(selected_period=cc_month_number,1,0))</f>
        <v>1</v>
      </c>
      <c r="H77" s="73">
        <f t="shared" ref="H77" si="35">1*$E$51</f>
        <v>1</v>
      </c>
      <c r="I77" s="73">
        <f t="shared" si="3"/>
        <v>1</v>
      </c>
      <c r="J77" s="92" cm="1">
        <f t="array" ref="J77">SUM(Tracking[Amount] * (Tracking[Type]=cc_type) * (YEAR(Tracking[Effective Date])=selected_year) * (MONTH(Tracking[Effective Date])=cc_month_number))</f>
        <v>0</v>
      </c>
      <c r="K77" s="92" cm="1">
        <f t="array" aca="1" ref="K77" ca="1">INDEX('Budget Planning'!$E:$AS, savings_total_row,
    MATCH(DATE(selected_year, cc_month_number, 1),'Budget Planning'!$E$9:$AS$9,0) )</f>
        <v>3900</v>
      </c>
      <c r="L77" s="92">
        <f ca="1">cc_budget-cc_tracked</f>
        <v>3900</v>
      </c>
      <c r="M77" s="92">
        <f ca="1">cc_in_focus*cc_show_type*MIN(cc_tracked, cc_budget)</f>
        <v>0</v>
      </c>
      <c r="N77" s="92">
        <f ca="1">cc_in_focus*cc_show_type*cc_show_rem_budget*IF(cc_delta&gt;0,cc_delta,0)</f>
        <v>3900</v>
      </c>
      <c r="O77" s="92">
        <f ca="1">cc_in_focus*cc_show_type*IF(cc_delta&lt;0, ABS(cc_delta),0)</f>
        <v>0</v>
      </c>
      <c r="P77" s="92">
        <f ca="1">NOT(cc_in_focus)*cc_show_type*MIN(cc_tracked, cc_budget)</f>
        <v>0</v>
      </c>
      <c r="Q77" s="92">
        <f ca="1">NOT(cc_in_focus)*cc_show_type*cc_show_rem_budget*IF(cc_delta&gt;0,cc_delta,0)</f>
        <v>0</v>
      </c>
      <c r="R77" s="92">
        <f ca="1">NOT(cc_in_focus)*cc_show_type*IF(cc_delta&lt;0, ABS(cc_delta),0)</f>
        <v>0</v>
      </c>
    </row>
    <row r="78" spans="4:18" x14ac:dyDescent="0.35">
      <c r="D78" s="121"/>
      <c r="E78" s="91"/>
      <c r="F78" s="91"/>
      <c r="G78" s="91"/>
      <c r="H78" s="91"/>
      <c r="I78" s="91"/>
      <c r="J78" s="94"/>
      <c r="K78" s="94"/>
      <c r="L78" s="94"/>
      <c r="M78" s="91"/>
      <c r="N78" s="91"/>
      <c r="O78" s="91"/>
      <c r="P78" s="91"/>
      <c r="Q78" s="91"/>
      <c r="R78" s="91"/>
    </row>
    <row r="79" spans="4:18" x14ac:dyDescent="0.35">
      <c r="D79" s="122">
        <f>DATE(selected_year,7,1)</f>
        <v>46204</v>
      </c>
      <c r="E79" s="90" t="s">
        <v>4</v>
      </c>
      <c r="F79" s="73">
        <f t="shared" ref="F79" si="36">MONTH(D79)</f>
        <v>7</v>
      </c>
      <c r="G79" s="73">
        <f>IF(selected_period="Total Year", 1, IF(selected_period=cc_month_number,1,0))</f>
        <v>1</v>
      </c>
      <c r="H79" s="73">
        <f t="shared" ref="H79" si="37">1*$E$49</f>
        <v>1</v>
      </c>
      <c r="I79" s="73">
        <f t="shared" ref="I79" si="38">1*$E$52</f>
        <v>1</v>
      </c>
      <c r="J79" s="92" cm="1">
        <f t="array" ref="J79">SUM(Tracking[Amount] * (Tracking[Type]=cc_type) * (YEAR(Tracking[Effective Date])=selected_year) * (MONTH(Tracking[Effective Date])=cc_month_number))</f>
        <v>0</v>
      </c>
      <c r="K79" s="92" cm="1">
        <f t="array" aca="1" ref="K79" ca="1">INDEX('Budget Planning'!$E:$AS, income_total_row,
    MATCH(DATE(selected_year, cc_month_number, 1),'Budget Planning'!$E$9:$AS$9,0) )</f>
        <v>12200</v>
      </c>
      <c r="L79" s="92">
        <f ca="1">cc_budget-cc_tracked</f>
        <v>12200</v>
      </c>
      <c r="M79" s="92">
        <f ca="1">cc_in_focus*cc_show_type*MIN(cc_tracked, cc_budget)</f>
        <v>0</v>
      </c>
      <c r="N79" s="92">
        <f ca="1">cc_in_focus*cc_show_type*cc_show_rem_budget*IF(cc_delta&gt;0,cc_delta,0)</f>
        <v>12200</v>
      </c>
      <c r="O79" s="92">
        <f ca="1">cc_in_focus*cc_show_type*IF(cc_delta&lt;0, ABS(cc_delta),0)</f>
        <v>0</v>
      </c>
      <c r="P79" s="92">
        <f ca="1">NOT(cc_in_focus)*cc_show_type*MIN(cc_tracked, cc_budget)</f>
        <v>0</v>
      </c>
      <c r="Q79" s="92">
        <f ca="1">NOT(cc_in_focus)*cc_show_type*cc_show_rem_budget*IF(cc_delta&gt;0,cc_delta,0)</f>
        <v>0</v>
      </c>
      <c r="R79" s="92">
        <f ca="1">NOT(cc_in_focus)*cc_show_type*IF(cc_delta&lt;0, ABS(cc_delta),0)</f>
        <v>0</v>
      </c>
    </row>
    <row r="80" spans="4:18" x14ac:dyDescent="0.35">
      <c r="D80" s="120"/>
      <c r="E80" s="73" t="s">
        <v>11</v>
      </c>
      <c r="F80" s="73">
        <f t="shared" ref="F80" si="39">MONTH(D79)</f>
        <v>7</v>
      </c>
      <c r="G80" s="73">
        <f>IF(selected_period="Total Year", 1, IF(selected_period=cc_month_number,1,0))</f>
        <v>1</v>
      </c>
      <c r="H80" s="73">
        <f t="shared" ref="H80" si="40">1*$E$50</f>
        <v>1</v>
      </c>
      <c r="I80" s="73">
        <f t="shared" si="3"/>
        <v>1</v>
      </c>
      <c r="J80" s="92" cm="1">
        <f t="array" ref="J80">SUM(Tracking[Amount] * (Tracking[Type]=cc_type) * (YEAR(Tracking[Effective Date])=selected_year) * (MONTH(Tracking[Effective Date])=cc_month_number))</f>
        <v>0</v>
      </c>
      <c r="K80" s="92" cm="1">
        <f t="array" aca="1" ref="K80" ca="1">INDEX('Budget Planning'!$E:$AS, expenses_total_row,
    MATCH(DATE(selected_year, cc_month_number, 1),'Budget Planning'!$E$9:$AS$9,0) )</f>
        <v>6750</v>
      </c>
      <c r="L80" s="92">
        <f ca="1">cc_budget-cc_tracked</f>
        <v>6750</v>
      </c>
      <c r="M80" s="92">
        <f ca="1">cc_in_focus*cc_show_type*MIN(cc_tracked, cc_budget)</f>
        <v>0</v>
      </c>
      <c r="N80" s="92">
        <f ca="1">cc_in_focus*cc_show_type*cc_show_rem_budget*IF(cc_delta&gt;0,cc_delta,0)</f>
        <v>6750</v>
      </c>
      <c r="O80" s="92">
        <f ca="1">cc_in_focus*cc_show_type*IF(cc_delta&lt;0, ABS(cc_delta),0)</f>
        <v>0</v>
      </c>
      <c r="P80" s="92">
        <f ca="1">NOT(cc_in_focus)*cc_show_type*MIN(cc_tracked, cc_budget)</f>
        <v>0</v>
      </c>
      <c r="Q80" s="92">
        <f ca="1">NOT(cc_in_focus)*cc_show_type*cc_show_rem_budget*IF(cc_delta&gt;0,cc_delta,0)</f>
        <v>0</v>
      </c>
      <c r="R80" s="92">
        <f ca="1">NOT(cc_in_focus)*cc_show_type*IF(cc_delta&lt;0, ABS(cc_delta),0)</f>
        <v>0</v>
      </c>
    </row>
    <row r="81" spans="4:18" x14ac:dyDescent="0.35">
      <c r="D81" s="120"/>
      <c r="E81" s="73" t="s">
        <v>15</v>
      </c>
      <c r="F81" s="73">
        <f t="shared" ref="F81" si="41">MONTH(D79)</f>
        <v>7</v>
      </c>
      <c r="G81" s="73">
        <f>IF(selected_period="Total Year", 1, IF(selected_period=cc_month_number,1,0))</f>
        <v>1</v>
      </c>
      <c r="H81" s="73">
        <f t="shared" ref="H81" si="42">1*$E$51</f>
        <v>1</v>
      </c>
      <c r="I81" s="73">
        <f t="shared" si="3"/>
        <v>1</v>
      </c>
      <c r="J81" s="92" cm="1">
        <f t="array" ref="J81">SUM(Tracking[Amount] * (Tracking[Type]=cc_type) * (YEAR(Tracking[Effective Date])=selected_year) * (MONTH(Tracking[Effective Date])=cc_month_number))</f>
        <v>0</v>
      </c>
      <c r="K81" s="92" cm="1">
        <f t="array" aca="1" ref="K81" ca="1">INDEX('Budget Planning'!$E:$AS, savings_total_row,
    MATCH(DATE(selected_year, cc_month_number, 1),'Budget Planning'!$E$9:$AS$9,0) )</f>
        <v>3700</v>
      </c>
      <c r="L81" s="92">
        <f ca="1">cc_budget-cc_tracked</f>
        <v>3700</v>
      </c>
      <c r="M81" s="92">
        <f ca="1">cc_in_focus*cc_show_type*MIN(cc_tracked, cc_budget)</f>
        <v>0</v>
      </c>
      <c r="N81" s="92">
        <f ca="1">cc_in_focus*cc_show_type*cc_show_rem_budget*IF(cc_delta&gt;0,cc_delta,0)</f>
        <v>3700</v>
      </c>
      <c r="O81" s="92">
        <f ca="1">cc_in_focus*cc_show_type*IF(cc_delta&lt;0, ABS(cc_delta),0)</f>
        <v>0</v>
      </c>
      <c r="P81" s="92">
        <f ca="1">NOT(cc_in_focus)*cc_show_type*MIN(cc_tracked, cc_budget)</f>
        <v>0</v>
      </c>
      <c r="Q81" s="92">
        <f ca="1">NOT(cc_in_focus)*cc_show_type*cc_show_rem_budget*IF(cc_delta&gt;0,cc_delta,0)</f>
        <v>0</v>
      </c>
      <c r="R81" s="92">
        <f ca="1">NOT(cc_in_focus)*cc_show_type*IF(cc_delta&lt;0, ABS(cc_delta),0)</f>
        <v>0</v>
      </c>
    </row>
    <row r="82" spans="4:18" x14ac:dyDescent="0.35">
      <c r="D82" s="121"/>
      <c r="E82" s="91"/>
      <c r="F82" s="91"/>
      <c r="G82" s="91"/>
      <c r="H82" s="91"/>
      <c r="I82" s="91"/>
      <c r="J82" s="94"/>
      <c r="K82" s="94"/>
      <c r="L82" s="94"/>
      <c r="M82" s="91"/>
      <c r="N82" s="91"/>
      <c r="O82" s="91"/>
      <c r="P82" s="91"/>
      <c r="Q82" s="91"/>
      <c r="R82" s="91"/>
    </row>
    <row r="83" spans="4:18" x14ac:dyDescent="0.35">
      <c r="D83" s="122">
        <f>DATE(selected_year,8,1)</f>
        <v>46235</v>
      </c>
      <c r="E83" s="90" t="s">
        <v>4</v>
      </c>
      <c r="F83" s="73">
        <f t="shared" ref="F83" si="43">MONTH(D83)</f>
        <v>8</v>
      </c>
      <c r="G83" s="73">
        <f>IF(selected_period="Total Year", 1, IF(selected_period=cc_month_number,1,0))</f>
        <v>1</v>
      </c>
      <c r="H83" s="73">
        <f t="shared" ref="H83" si="44">1*$E$49</f>
        <v>1</v>
      </c>
      <c r="I83" s="73">
        <f t="shared" ref="I83" si="45">1*$E$52</f>
        <v>1</v>
      </c>
      <c r="J83" s="92" cm="1">
        <f t="array" ref="J83">SUM(Tracking[Amount] * (Tracking[Type]=cc_type) * (YEAR(Tracking[Effective Date])=selected_year) * (MONTH(Tracking[Effective Date])=cc_month_number))</f>
        <v>0</v>
      </c>
      <c r="K83" s="92" cm="1">
        <f t="array" aca="1" ref="K83" ca="1">INDEX('Budget Planning'!$E:$AS, income_total_row,
    MATCH(DATE(selected_year, cc_month_number, 1),'Budget Planning'!$E$9:$AS$9,0) )</f>
        <v>11500</v>
      </c>
      <c r="L83" s="92">
        <f ca="1">cc_budget-cc_tracked</f>
        <v>11500</v>
      </c>
      <c r="M83" s="92">
        <f ca="1">cc_in_focus*cc_show_type*MIN(cc_tracked, cc_budget)</f>
        <v>0</v>
      </c>
      <c r="N83" s="92">
        <f ca="1">cc_in_focus*cc_show_type*cc_show_rem_budget*IF(cc_delta&gt;0,cc_delta,0)</f>
        <v>11500</v>
      </c>
      <c r="O83" s="92">
        <f ca="1">cc_in_focus*cc_show_type*IF(cc_delta&lt;0, ABS(cc_delta),0)</f>
        <v>0</v>
      </c>
      <c r="P83" s="92">
        <f ca="1">NOT(cc_in_focus)*cc_show_type*MIN(cc_tracked, cc_budget)</f>
        <v>0</v>
      </c>
      <c r="Q83" s="92">
        <f ca="1">NOT(cc_in_focus)*cc_show_type*cc_show_rem_budget*IF(cc_delta&gt;0,cc_delta,0)</f>
        <v>0</v>
      </c>
      <c r="R83" s="92">
        <f ca="1">NOT(cc_in_focus)*cc_show_type*IF(cc_delta&lt;0, ABS(cc_delta),0)</f>
        <v>0</v>
      </c>
    </row>
    <row r="84" spans="4:18" x14ac:dyDescent="0.35">
      <c r="D84" s="120"/>
      <c r="E84" s="73" t="s">
        <v>11</v>
      </c>
      <c r="F84" s="73">
        <f t="shared" ref="F84" si="46">MONTH(D83)</f>
        <v>8</v>
      </c>
      <c r="G84" s="73">
        <f>IF(selected_period="Total Year", 1, IF(selected_period=cc_month_number,1,0))</f>
        <v>1</v>
      </c>
      <c r="H84" s="73">
        <f t="shared" ref="H84" si="47">1*$E$50</f>
        <v>1</v>
      </c>
      <c r="I84" s="73">
        <f t="shared" si="3"/>
        <v>1</v>
      </c>
      <c r="J84" s="92" cm="1">
        <f t="array" ref="J84">SUM(Tracking[Amount] * (Tracking[Type]=cc_type) * (YEAR(Tracking[Effective Date])=selected_year) * (MONTH(Tracking[Effective Date])=cc_month_number))</f>
        <v>0</v>
      </c>
      <c r="K84" s="92" cm="1">
        <f t="array" aca="1" ref="K84" ca="1">INDEX('Budget Planning'!$E:$AS, expenses_total_row,
    MATCH(DATE(selected_year, cc_month_number, 1),'Budget Planning'!$E$9:$AS$9,0) )</f>
        <v>6450</v>
      </c>
      <c r="L84" s="92">
        <f ca="1">cc_budget-cc_tracked</f>
        <v>6450</v>
      </c>
      <c r="M84" s="92">
        <f ca="1">cc_in_focus*cc_show_type*MIN(cc_tracked, cc_budget)</f>
        <v>0</v>
      </c>
      <c r="N84" s="92">
        <f ca="1">cc_in_focus*cc_show_type*cc_show_rem_budget*IF(cc_delta&gt;0,cc_delta,0)</f>
        <v>6450</v>
      </c>
      <c r="O84" s="92">
        <f ca="1">cc_in_focus*cc_show_type*IF(cc_delta&lt;0, ABS(cc_delta),0)</f>
        <v>0</v>
      </c>
      <c r="P84" s="92">
        <f ca="1">NOT(cc_in_focus)*cc_show_type*MIN(cc_tracked, cc_budget)</f>
        <v>0</v>
      </c>
      <c r="Q84" s="92">
        <f ca="1">NOT(cc_in_focus)*cc_show_type*cc_show_rem_budget*IF(cc_delta&gt;0,cc_delta,0)</f>
        <v>0</v>
      </c>
      <c r="R84" s="92">
        <f ca="1">NOT(cc_in_focus)*cc_show_type*IF(cc_delta&lt;0, ABS(cc_delta),0)</f>
        <v>0</v>
      </c>
    </row>
    <row r="85" spans="4:18" x14ac:dyDescent="0.35">
      <c r="D85" s="120"/>
      <c r="E85" s="73" t="s">
        <v>15</v>
      </c>
      <c r="F85" s="73">
        <f t="shared" ref="F85" si="48">MONTH(D83)</f>
        <v>8</v>
      </c>
      <c r="G85" s="73">
        <f>IF(selected_period="Total Year", 1, IF(selected_period=cc_month_number,1,0))</f>
        <v>1</v>
      </c>
      <c r="H85" s="73">
        <f t="shared" ref="H85" si="49">1*$E$51</f>
        <v>1</v>
      </c>
      <c r="I85" s="73">
        <f t="shared" si="3"/>
        <v>1</v>
      </c>
      <c r="J85" s="92" cm="1">
        <f t="array" ref="J85">SUM(Tracking[Amount] * (Tracking[Type]=cc_type) * (YEAR(Tracking[Effective Date])=selected_year) * (MONTH(Tracking[Effective Date])=cc_month_number))</f>
        <v>0</v>
      </c>
      <c r="K85" s="92" cm="1">
        <f t="array" aca="1" ref="K85" ca="1">INDEX('Budget Planning'!$E:$AS, savings_total_row,
    MATCH(DATE(selected_year, cc_month_number, 1),'Budget Planning'!$E$9:$AS$9,0) )</f>
        <v>3950</v>
      </c>
      <c r="L85" s="92">
        <f ca="1">cc_budget-cc_tracked</f>
        <v>3950</v>
      </c>
      <c r="M85" s="92">
        <f ca="1">cc_in_focus*cc_show_type*MIN(cc_tracked, cc_budget)</f>
        <v>0</v>
      </c>
      <c r="N85" s="92">
        <f ca="1">cc_in_focus*cc_show_type*cc_show_rem_budget*IF(cc_delta&gt;0,cc_delta,0)</f>
        <v>3950</v>
      </c>
      <c r="O85" s="92">
        <f ca="1">cc_in_focus*cc_show_type*IF(cc_delta&lt;0, ABS(cc_delta),0)</f>
        <v>0</v>
      </c>
      <c r="P85" s="92">
        <f ca="1">NOT(cc_in_focus)*cc_show_type*MIN(cc_tracked, cc_budget)</f>
        <v>0</v>
      </c>
      <c r="Q85" s="92">
        <f ca="1">NOT(cc_in_focus)*cc_show_type*cc_show_rem_budget*IF(cc_delta&gt;0,cc_delta,0)</f>
        <v>0</v>
      </c>
      <c r="R85" s="92">
        <f ca="1">NOT(cc_in_focus)*cc_show_type*IF(cc_delta&lt;0, ABS(cc_delta),0)</f>
        <v>0</v>
      </c>
    </row>
    <row r="86" spans="4:18" x14ac:dyDescent="0.35">
      <c r="D86" s="121"/>
      <c r="E86" s="91"/>
      <c r="F86" s="91"/>
      <c r="G86" s="91"/>
      <c r="H86" s="91"/>
      <c r="I86" s="91"/>
      <c r="J86" s="94"/>
      <c r="K86" s="94"/>
      <c r="L86" s="94"/>
      <c r="M86" s="91"/>
      <c r="N86" s="91"/>
      <c r="O86" s="91"/>
      <c r="P86" s="91"/>
      <c r="Q86" s="91"/>
      <c r="R86" s="91"/>
    </row>
    <row r="87" spans="4:18" x14ac:dyDescent="0.35">
      <c r="D87" s="122">
        <f>DATE(selected_year,9,1)</f>
        <v>46266</v>
      </c>
      <c r="E87" s="90" t="s">
        <v>4</v>
      </c>
      <c r="F87" s="73">
        <f t="shared" ref="F87" si="50">MONTH(D87)</f>
        <v>9</v>
      </c>
      <c r="G87" s="73">
        <f>IF(selected_period="Total Year", 1, IF(selected_period=cc_month_number,1,0))</f>
        <v>1</v>
      </c>
      <c r="H87" s="73">
        <f t="shared" ref="H87" si="51">1*$E$49</f>
        <v>1</v>
      </c>
      <c r="I87" s="73">
        <f t="shared" ref="I87" si="52">1*$E$52</f>
        <v>1</v>
      </c>
      <c r="J87" s="92" cm="1">
        <f t="array" ref="J87">SUM(Tracking[Amount] * (Tracking[Type]=cc_type) * (YEAR(Tracking[Effective Date])=selected_year) * (MONTH(Tracking[Effective Date])=cc_month_number))</f>
        <v>0</v>
      </c>
      <c r="K87" s="92" cm="1">
        <f t="array" aca="1" ref="K87" ca="1">INDEX('Budget Planning'!$E:$AS, income_total_row,
    MATCH(DATE(selected_year, cc_month_number, 1),'Budget Planning'!$E$9:$AS$9,0) )</f>
        <v>12700</v>
      </c>
      <c r="L87" s="92">
        <f ca="1">cc_budget-cc_tracked</f>
        <v>12700</v>
      </c>
      <c r="M87" s="92">
        <f ca="1">cc_in_focus*cc_show_type*MIN(cc_tracked, cc_budget)</f>
        <v>0</v>
      </c>
      <c r="N87" s="92">
        <f ca="1">cc_in_focus*cc_show_type*cc_show_rem_budget*IF(cc_delta&gt;0,cc_delta,0)</f>
        <v>12700</v>
      </c>
      <c r="O87" s="92">
        <f ca="1">cc_in_focus*cc_show_type*IF(cc_delta&lt;0, ABS(cc_delta),0)</f>
        <v>0</v>
      </c>
      <c r="P87" s="92">
        <f ca="1">NOT(cc_in_focus)*cc_show_type*MIN(cc_tracked, cc_budget)</f>
        <v>0</v>
      </c>
      <c r="Q87" s="92">
        <f ca="1">NOT(cc_in_focus)*cc_show_type*cc_show_rem_budget*IF(cc_delta&gt;0,cc_delta,0)</f>
        <v>0</v>
      </c>
      <c r="R87" s="92">
        <f ca="1">NOT(cc_in_focus)*cc_show_type*IF(cc_delta&lt;0, ABS(cc_delta),0)</f>
        <v>0</v>
      </c>
    </row>
    <row r="88" spans="4:18" x14ac:dyDescent="0.35">
      <c r="D88" s="120"/>
      <c r="E88" s="73" t="s">
        <v>11</v>
      </c>
      <c r="F88" s="73">
        <f t="shared" ref="F88" si="53">MONTH(D87)</f>
        <v>9</v>
      </c>
      <c r="G88" s="73">
        <f>IF(selected_period="Total Year", 1, IF(selected_period=cc_month_number,1,0))</f>
        <v>1</v>
      </c>
      <c r="H88" s="73">
        <f t="shared" ref="H88" si="54">1*$E$50</f>
        <v>1</v>
      </c>
      <c r="I88" s="73">
        <f t="shared" si="3"/>
        <v>1</v>
      </c>
      <c r="J88" s="92" cm="1">
        <f t="array" ref="J88">SUM(Tracking[Amount] * (Tracking[Type]=cc_type) * (YEAR(Tracking[Effective Date])=selected_year) * (MONTH(Tracking[Effective Date])=cc_month_number))</f>
        <v>0</v>
      </c>
      <c r="K88" s="92" cm="1">
        <f t="array" aca="1" ref="K88" ca="1">INDEX('Budget Planning'!$E:$AS, expenses_total_row,
    MATCH(DATE(selected_year, cc_month_number, 1),'Budget Planning'!$E$9:$AS$9,0) )</f>
        <v>6550</v>
      </c>
      <c r="L88" s="92">
        <f ca="1">cc_budget-cc_tracked</f>
        <v>6550</v>
      </c>
      <c r="M88" s="92">
        <f ca="1">cc_in_focus*cc_show_type*MIN(cc_tracked, cc_budget)</f>
        <v>0</v>
      </c>
      <c r="N88" s="92">
        <f ca="1">cc_in_focus*cc_show_type*cc_show_rem_budget*IF(cc_delta&gt;0,cc_delta,0)</f>
        <v>6550</v>
      </c>
      <c r="O88" s="92">
        <f ca="1">cc_in_focus*cc_show_type*IF(cc_delta&lt;0, ABS(cc_delta),0)</f>
        <v>0</v>
      </c>
      <c r="P88" s="92">
        <f ca="1">NOT(cc_in_focus)*cc_show_type*MIN(cc_tracked, cc_budget)</f>
        <v>0</v>
      </c>
      <c r="Q88" s="92">
        <f ca="1">NOT(cc_in_focus)*cc_show_type*cc_show_rem_budget*IF(cc_delta&gt;0,cc_delta,0)</f>
        <v>0</v>
      </c>
      <c r="R88" s="92">
        <f ca="1">NOT(cc_in_focus)*cc_show_type*IF(cc_delta&lt;0, ABS(cc_delta),0)</f>
        <v>0</v>
      </c>
    </row>
    <row r="89" spans="4:18" x14ac:dyDescent="0.35">
      <c r="D89" s="120"/>
      <c r="E89" s="73" t="s">
        <v>15</v>
      </c>
      <c r="F89" s="73">
        <f t="shared" ref="F89" si="55">MONTH(D87)</f>
        <v>9</v>
      </c>
      <c r="G89" s="73">
        <f>IF(selected_period="Total Year", 1, IF(selected_period=cc_month_number,1,0))</f>
        <v>1</v>
      </c>
      <c r="H89" s="73">
        <f t="shared" ref="H89" si="56">1*$E$51</f>
        <v>1</v>
      </c>
      <c r="I89" s="73">
        <f t="shared" si="3"/>
        <v>1</v>
      </c>
      <c r="J89" s="92" cm="1">
        <f t="array" ref="J89">SUM(Tracking[Amount] * (Tracking[Type]=cc_type) * (YEAR(Tracking[Effective Date])=selected_year) * (MONTH(Tracking[Effective Date])=cc_month_number))</f>
        <v>0</v>
      </c>
      <c r="K89" s="92" cm="1">
        <f t="array" aca="1" ref="K89" ca="1">INDEX('Budget Planning'!$E:$AS, savings_total_row,
    MATCH(DATE(selected_year, cc_month_number, 1),'Budget Planning'!$E$9:$AS$9,0) )</f>
        <v>3650</v>
      </c>
      <c r="L89" s="92">
        <f ca="1">cc_budget-cc_tracked</f>
        <v>3650</v>
      </c>
      <c r="M89" s="92">
        <f ca="1">cc_in_focus*cc_show_type*MIN(cc_tracked, cc_budget)</f>
        <v>0</v>
      </c>
      <c r="N89" s="92">
        <f ca="1">cc_in_focus*cc_show_type*cc_show_rem_budget*IF(cc_delta&gt;0,cc_delta,0)</f>
        <v>3650</v>
      </c>
      <c r="O89" s="92">
        <f ca="1">cc_in_focus*cc_show_type*IF(cc_delta&lt;0, ABS(cc_delta),0)</f>
        <v>0</v>
      </c>
      <c r="P89" s="92">
        <f ca="1">NOT(cc_in_focus)*cc_show_type*MIN(cc_tracked, cc_budget)</f>
        <v>0</v>
      </c>
      <c r="Q89" s="92">
        <f ca="1">NOT(cc_in_focus)*cc_show_type*cc_show_rem_budget*IF(cc_delta&gt;0,cc_delta,0)</f>
        <v>0</v>
      </c>
      <c r="R89" s="92">
        <f ca="1">NOT(cc_in_focus)*cc_show_type*IF(cc_delta&lt;0, ABS(cc_delta),0)</f>
        <v>0</v>
      </c>
    </row>
    <row r="90" spans="4:18" x14ac:dyDescent="0.35">
      <c r="D90" s="121"/>
      <c r="E90" s="91"/>
      <c r="F90" s="91"/>
      <c r="G90" s="91"/>
      <c r="H90" s="91"/>
      <c r="I90" s="91"/>
      <c r="J90" s="94"/>
      <c r="K90" s="94"/>
      <c r="L90" s="94"/>
      <c r="M90" s="91"/>
      <c r="N90" s="91"/>
      <c r="O90" s="91"/>
      <c r="P90" s="91"/>
      <c r="Q90" s="91"/>
      <c r="R90" s="91"/>
    </row>
    <row r="91" spans="4:18" x14ac:dyDescent="0.35">
      <c r="D91" s="122">
        <f>DATE(selected_year,10,1)</f>
        <v>46296</v>
      </c>
      <c r="E91" s="90" t="s">
        <v>4</v>
      </c>
      <c r="F91" s="73">
        <f t="shared" ref="F91" si="57">MONTH(D91)</f>
        <v>10</v>
      </c>
      <c r="G91" s="73">
        <f>IF(selected_period="Total Year", 1, IF(selected_period=cc_month_number,1,0))</f>
        <v>1</v>
      </c>
      <c r="H91" s="73">
        <f t="shared" ref="H91" si="58">1*$E$49</f>
        <v>1</v>
      </c>
      <c r="I91" s="73">
        <f t="shared" ref="I91" si="59">1*$E$52</f>
        <v>1</v>
      </c>
      <c r="J91" s="92" cm="1">
        <f t="array" ref="J91">SUM(Tracking[Amount] * (Tracking[Type]=cc_type) * (YEAR(Tracking[Effective Date])=selected_year) * (MONTH(Tracking[Effective Date])=cc_month_number))</f>
        <v>0</v>
      </c>
      <c r="K91" s="92" cm="1">
        <f t="array" aca="1" ref="K91" ca="1">INDEX('Budget Planning'!$E:$AS, income_total_row,
    MATCH(DATE(selected_year, cc_month_number, 1),'Budget Planning'!$E$9:$AS$9,0) )</f>
        <v>12350</v>
      </c>
      <c r="L91" s="92">
        <f ca="1">cc_budget-cc_tracked</f>
        <v>12350</v>
      </c>
      <c r="M91" s="92">
        <f ca="1">cc_in_focus*cc_show_type*MIN(cc_tracked, cc_budget)</f>
        <v>0</v>
      </c>
      <c r="N91" s="92">
        <f ca="1">cc_in_focus*cc_show_type*cc_show_rem_budget*IF(cc_delta&gt;0,cc_delta,0)</f>
        <v>12350</v>
      </c>
      <c r="O91" s="92">
        <f ca="1">cc_in_focus*cc_show_type*IF(cc_delta&lt;0, ABS(cc_delta),0)</f>
        <v>0</v>
      </c>
      <c r="P91" s="92">
        <f ca="1">NOT(cc_in_focus)*cc_show_type*MIN(cc_tracked, cc_budget)</f>
        <v>0</v>
      </c>
      <c r="Q91" s="92">
        <f ca="1">NOT(cc_in_focus)*cc_show_type*cc_show_rem_budget*IF(cc_delta&gt;0,cc_delta,0)</f>
        <v>0</v>
      </c>
      <c r="R91" s="92">
        <f ca="1">NOT(cc_in_focus)*cc_show_type*IF(cc_delta&lt;0, ABS(cc_delta),0)</f>
        <v>0</v>
      </c>
    </row>
    <row r="92" spans="4:18" x14ac:dyDescent="0.35">
      <c r="D92" s="120"/>
      <c r="E92" s="73" t="s">
        <v>11</v>
      </c>
      <c r="F92" s="73">
        <f t="shared" ref="F92" si="60">MONTH(D91)</f>
        <v>10</v>
      </c>
      <c r="G92" s="73">
        <f>IF(selected_period="Total Year", 1, IF(selected_period=cc_month_number,1,0))</f>
        <v>1</v>
      </c>
      <c r="H92" s="73">
        <f t="shared" ref="H92" si="61">1*$E$50</f>
        <v>1</v>
      </c>
      <c r="I92" s="73">
        <f t="shared" si="3"/>
        <v>1</v>
      </c>
      <c r="J92" s="92" cm="1">
        <f t="array" ref="J92">SUM(Tracking[Amount] * (Tracking[Type]=cc_type) * (YEAR(Tracking[Effective Date])=selected_year) * (MONTH(Tracking[Effective Date])=cc_month_number))</f>
        <v>0</v>
      </c>
      <c r="K92" s="92" cm="1">
        <f t="array" aca="1" ref="K92" ca="1">INDEX('Budget Planning'!$E:$AS, expenses_total_row,
    MATCH(DATE(selected_year, cc_month_number, 1),'Budget Planning'!$E$9:$AS$9,0) )</f>
        <v>8100</v>
      </c>
      <c r="L92" s="92">
        <f ca="1">cc_budget-cc_tracked</f>
        <v>8100</v>
      </c>
      <c r="M92" s="92">
        <f ca="1">cc_in_focus*cc_show_type*MIN(cc_tracked, cc_budget)</f>
        <v>0</v>
      </c>
      <c r="N92" s="92">
        <f ca="1">cc_in_focus*cc_show_type*cc_show_rem_budget*IF(cc_delta&gt;0,cc_delta,0)</f>
        <v>8100</v>
      </c>
      <c r="O92" s="92">
        <f ca="1">cc_in_focus*cc_show_type*IF(cc_delta&lt;0, ABS(cc_delta),0)</f>
        <v>0</v>
      </c>
      <c r="P92" s="92">
        <f ca="1">NOT(cc_in_focus)*cc_show_type*MIN(cc_tracked, cc_budget)</f>
        <v>0</v>
      </c>
      <c r="Q92" s="92">
        <f ca="1">NOT(cc_in_focus)*cc_show_type*cc_show_rem_budget*IF(cc_delta&gt;0,cc_delta,0)</f>
        <v>0</v>
      </c>
      <c r="R92" s="92">
        <f ca="1">NOT(cc_in_focus)*cc_show_type*IF(cc_delta&lt;0, ABS(cc_delta),0)</f>
        <v>0</v>
      </c>
    </row>
    <row r="93" spans="4:18" x14ac:dyDescent="0.35">
      <c r="D93" s="120"/>
      <c r="E93" s="73" t="s">
        <v>15</v>
      </c>
      <c r="F93" s="73">
        <f t="shared" ref="F93" si="62">MONTH(D91)</f>
        <v>10</v>
      </c>
      <c r="G93" s="73">
        <f>IF(selected_period="Total Year", 1, IF(selected_period=cc_month_number,1,0))</f>
        <v>1</v>
      </c>
      <c r="H93" s="73">
        <f t="shared" ref="H93" si="63">1*$E$51</f>
        <v>1</v>
      </c>
      <c r="I93" s="73">
        <f t="shared" si="3"/>
        <v>1</v>
      </c>
      <c r="J93" s="92" cm="1">
        <f t="array" ref="J93">SUM(Tracking[Amount] * (Tracking[Type]=cc_type) * (YEAR(Tracking[Effective Date])=selected_year) * (MONTH(Tracking[Effective Date])=cc_month_number))</f>
        <v>0</v>
      </c>
      <c r="K93" s="92" cm="1">
        <f t="array" aca="1" ref="K93" ca="1">INDEX('Budget Planning'!$E:$AS, savings_total_row,
    MATCH(DATE(selected_year, cc_month_number, 1),'Budget Planning'!$E$9:$AS$9,0) )</f>
        <v>3800</v>
      </c>
      <c r="L93" s="92">
        <f ca="1">cc_budget-cc_tracked</f>
        <v>3800</v>
      </c>
      <c r="M93" s="92">
        <f ca="1">cc_in_focus*cc_show_type*MIN(cc_tracked, cc_budget)</f>
        <v>0</v>
      </c>
      <c r="N93" s="92">
        <f ca="1">cc_in_focus*cc_show_type*cc_show_rem_budget*IF(cc_delta&gt;0,cc_delta,0)</f>
        <v>3800</v>
      </c>
      <c r="O93" s="92">
        <f ca="1">cc_in_focus*cc_show_type*IF(cc_delta&lt;0, ABS(cc_delta),0)</f>
        <v>0</v>
      </c>
      <c r="P93" s="92">
        <f ca="1">NOT(cc_in_focus)*cc_show_type*MIN(cc_tracked, cc_budget)</f>
        <v>0</v>
      </c>
      <c r="Q93" s="92">
        <f ca="1">NOT(cc_in_focus)*cc_show_type*cc_show_rem_budget*IF(cc_delta&gt;0,cc_delta,0)</f>
        <v>0</v>
      </c>
      <c r="R93" s="92">
        <f ca="1">NOT(cc_in_focus)*cc_show_type*IF(cc_delta&lt;0, ABS(cc_delta),0)</f>
        <v>0</v>
      </c>
    </row>
    <row r="94" spans="4:18" x14ac:dyDescent="0.35">
      <c r="D94" s="121"/>
      <c r="E94" s="91"/>
      <c r="F94" s="91"/>
      <c r="G94" s="91"/>
      <c r="H94" s="91"/>
      <c r="I94" s="91"/>
      <c r="J94" s="94"/>
      <c r="K94" s="94"/>
      <c r="L94" s="94"/>
      <c r="M94" s="91"/>
      <c r="N94" s="91"/>
      <c r="O94" s="91"/>
      <c r="P94" s="91"/>
      <c r="Q94" s="91"/>
      <c r="R94" s="91"/>
    </row>
    <row r="95" spans="4:18" x14ac:dyDescent="0.35">
      <c r="D95" s="122">
        <f>DATE(selected_year,11,1)</f>
        <v>46327</v>
      </c>
      <c r="E95" s="90" t="s">
        <v>4</v>
      </c>
      <c r="F95" s="73">
        <f t="shared" ref="F95" si="64">MONTH(D95)</f>
        <v>11</v>
      </c>
      <c r="G95" s="73">
        <f>IF(selected_period="Total Year", 1, IF(selected_period=cc_month_number,1,0))</f>
        <v>1</v>
      </c>
      <c r="H95" s="73">
        <f t="shared" ref="H95" si="65">1*$E$49</f>
        <v>1</v>
      </c>
      <c r="I95" s="73">
        <f t="shared" ref="I95" si="66">1*$E$52</f>
        <v>1</v>
      </c>
      <c r="J95" s="92" cm="1">
        <f t="array" ref="J95">SUM(Tracking[Amount] * (Tracking[Type]=cc_type) * (YEAR(Tracking[Effective Date])=selected_year) * (MONTH(Tracking[Effective Date])=cc_month_number))</f>
        <v>0</v>
      </c>
      <c r="K95" s="92" cm="1">
        <f t="array" aca="1" ref="K95" ca="1">INDEX('Budget Planning'!$E:$AS, income_total_row,
    MATCH(DATE(selected_year, cc_month_number, 1),'Budget Planning'!$E$9:$AS$9,0) )</f>
        <v>11050</v>
      </c>
      <c r="L95" s="92">
        <f ca="1">cc_budget-cc_tracked</f>
        <v>11050</v>
      </c>
      <c r="M95" s="92">
        <f ca="1">cc_in_focus*cc_show_type*MIN(cc_tracked, cc_budget)</f>
        <v>0</v>
      </c>
      <c r="N95" s="92">
        <f ca="1">cc_in_focus*cc_show_type*cc_show_rem_budget*IF(cc_delta&gt;0,cc_delta,0)</f>
        <v>11050</v>
      </c>
      <c r="O95" s="92">
        <f ca="1">cc_in_focus*cc_show_type*IF(cc_delta&lt;0, ABS(cc_delta),0)</f>
        <v>0</v>
      </c>
      <c r="P95" s="92">
        <f ca="1">NOT(cc_in_focus)*cc_show_type*MIN(cc_tracked, cc_budget)</f>
        <v>0</v>
      </c>
      <c r="Q95" s="92">
        <f ca="1">NOT(cc_in_focus)*cc_show_type*cc_show_rem_budget*IF(cc_delta&gt;0,cc_delta,0)</f>
        <v>0</v>
      </c>
      <c r="R95" s="92">
        <f ca="1">NOT(cc_in_focus)*cc_show_type*IF(cc_delta&lt;0, ABS(cc_delta),0)</f>
        <v>0</v>
      </c>
    </row>
    <row r="96" spans="4:18" x14ac:dyDescent="0.35">
      <c r="D96" s="120"/>
      <c r="E96" s="73" t="s">
        <v>11</v>
      </c>
      <c r="F96" s="73">
        <f t="shared" ref="F96" si="67">MONTH(D95)</f>
        <v>11</v>
      </c>
      <c r="G96" s="73">
        <f>IF(selected_period="Total Year", 1, IF(selected_period=cc_month_number,1,0))</f>
        <v>1</v>
      </c>
      <c r="H96" s="73">
        <f t="shared" ref="H96" si="68">1*$E$50</f>
        <v>1</v>
      </c>
      <c r="I96" s="73">
        <f t="shared" si="3"/>
        <v>1</v>
      </c>
      <c r="J96" s="92" cm="1">
        <f t="array" ref="J96">SUM(Tracking[Amount] * (Tracking[Type]=cc_type) * (YEAR(Tracking[Effective Date])=selected_year) * (MONTH(Tracking[Effective Date])=cc_month_number))</f>
        <v>0</v>
      </c>
      <c r="K96" s="92" cm="1">
        <f t="array" aca="1" ref="K96" ca="1">INDEX('Budget Planning'!$E:$AS, expenses_total_row,
    MATCH(DATE(selected_year, cc_month_number, 1),'Budget Planning'!$E$9:$AS$9,0) )</f>
        <v>6500</v>
      </c>
      <c r="L96" s="92">
        <f ca="1">cc_budget-cc_tracked</f>
        <v>6500</v>
      </c>
      <c r="M96" s="92">
        <f ca="1">cc_in_focus*cc_show_type*MIN(cc_tracked, cc_budget)</f>
        <v>0</v>
      </c>
      <c r="N96" s="92">
        <f ca="1">cc_in_focus*cc_show_type*cc_show_rem_budget*IF(cc_delta&gt;0,cc_delta,0)</f>
        <v>6500</v>
      </c>
      <c r="O96" s="92">
        <f ca="1">cc_in_focus*cc_show_type*IF(cc_delta&lt;0, ABS(cc_delta),0)</f>
        <v>0</v>
      </c>
      <c r="P96" s="92">
        <f ca="1">NOT(cc_in_focus)*cc_show_type*MIN(cc_tracked, cc_budget)</f>
        <v>0</v>
      </c>
      <c r="Q96" s="92">
        <f ca="1">NOT(cc_in_focus)*cc_show_type*cc_show_rem_budget*IF(cc_delta&gt;0,cc_delta,0)</f>
        <v>0</v>
      </c>
      <c r="R96" s="92">
        <f ca="1">NOT(cc_in_focus)*cc_show_type*IF(cc_delta&lt;0, ABS(cc_delta),0)</f>
        <v>0</v>
      </c>
    </row>
    <row r="97" spans="4:18" x14ac:dyDescent="0.35">
      <c r="D97" s="120"/>
      <c r="E97" s="73" t="s">
        <v>15</v>
      </c>
      <c r="F97" s="73">
        <f t="shared" ref="F97" si="69">MONTH(D95)</f>
        <v>11</v>
      </c>
      <c r="G97" s="73">
        <f>IF(selected_period="Total Year", 1, IF(selected_period=cc_month_number,1,0))</f>
        <v>1</v>
      </c>
      <c r="H97" s="73">
        <f t="shared" ref="H97" si="70">1*$E$51</f>
        <v>1</v>
      </c>
      <c r="I97" s="73">
        <f t="shared" si="3"/>
        <v>1</v>
      </c>
      <c r="J97" s="92" cm="1">
        <f t="array" ref="J97">SUM(Tracking[Amount] * (Tracking[Type]=cc_type) * (YEAR(Tracking[Effective Date])=selected_year) * (MONTH(Tracking[Effective Date])=cc_month_number))</f>
        <v>0</v>
      </c>
      <c r="K97" s="92" cm="1">
        <f t="array" aca="1" ref="K97" ca="1">INDEX('Budget Planning'!$E:$AS, savings_total_row,
    MATCH(DATE(selected_year, cc_month_number, 1),'Budget Planning'!$E$9:$AS$9,0) )</f>
        <v>3600</v>
      </c>
      <c r="L97" s="92">
        <f ca="1">cc_budget-cc_tracked</f>
        <v>3600</v>
      </c>
      <c r="M97" s="92">
        <f ca="1">cc_in_focus*cc_show_type*MIN(cc_tracked, cc_budget)</f>
        <v>0</v>
      </c>
      <c r="N97" s="92">
        <f ca="1">cc_in_focus*cc_show_type*cc_show_rem_budget*IF(cc_delta&gt;0,cc_delta,0)</f>
        <v>3600</v>
      </c>
      <c r="O97" s="92">
        <f ca="1">cc_in_focus*cc_show_type*IF(cc_delta&lt;0, ABS(cc_delta),0)</f>
        <v>0</v>
      </c>
      <c r="P97" s="92">
        <f ca="1">NOT(cc_in_focus)*cc_show_type*MIN(cc_tracked, cc_budget)</f>
        <v>0</v>
      </c>
      <c r="Q97" s="92">
        <f ca="1">NOT(cc_in_focus)*cc_show_type*cc_show_rem_budget*IF(cc_delta&gt;0,cc_delta,0)</f>
        <v>0</v>
      </c>
      <c r="R97" s="92">
        <f ca="1">NOT(cc_in_focus)*cc_show_type*IF(cc_delta&lt;0, ABS(cc_delta),0)</f>
        <v>0</v>
      </c>
    </row>
    <row r="98" spans="4:18" x14ac:dyDescent="0.35">
      <c r="D98" s="121"/>
      <c r="E98" s="91"/>
      <c r="F98" s="91"/>
      <c r="G98" s="91"/>
      <c r="H98" s="91"/>
      <c r="I98" s="91"/>
      <c r="J98" s="94"/>
      <c r="K98" s="94"/>
      <c r="L98" s="94"/>
      <c r="M98" s="91"/>
      <c r="N98" s="91"/>
      <c r="O98" s="91"/>
      <c r="P98" s="91"/>
      <c r="Q98" s="91"/>
      <c r="R98" s="91"/>
    </row>
    <row r="99" spans="4:18" x14ac:dyDescent="0.35">
      <c r="D99" s="122">
        <f>DATE(selected_year,12,1)</f>
        <v>46357</v>
      </c>
      <c r="E99" s="90" t="s">
        <v>4</v>
      </c>
      <c r="F99" s="73">
        <f t="shared" ref="F99" si="71">MONTH(D99)</f>
        <v>12</v>
      </c>
      <c r="G99" s="73">
        <f>IF(selected_period="Total Year", 1, IF(selected_period=cc_month_number,1,0))</f>
        <v>1</v>
      </c>
      <c r="H99" s="73">
        <f t="shared" ref="H99" si="72">1*$E$49</f>
        <v>1</v>
      </c>
      <c r="I99" s="73">
        <f t="shared" ref="I99" si="73">1*$E$52</f>
        <v>1</v>
      </c>
      <c r="J99" s="92" cm="1">
        <f t="array" ref="J99">SUM(Tracking[Amount] * (Tracking[Type]=cc_type) * (YEAR(Tracking[Effective Date])=selected_year) * (MONTH(Tracking[Effective Date])=cc_month_number))</f>
        <v>0</v>
      </c>
      <c r="K99" s="92" cm="1">
        <f t="array" aca="1" ref="K99" ca="1">INDEX('Budget Planning'!$E:$AS, income_total_row,
    MATCH(DATE(selected_year, cc_month_number, 1),'Budget Planning'!$E$9:$AS$9,0) )</f>
        <v>13400</v>
      </c>
      <c r="L99" s="92">
        <f ca="1">cc_budget-cc_tracked</f>
        <v>13400</v>
      </c>
      <c r="M99" s="92">
        <f ca="1">cc_in_focus*cc_show_type*MIN(cc_tracked, cc_budget)</f>
        <v>0</v>
      </c>
      <c r="N99" s="92">
        <f ca="1">cc_in_focus*cc_show_type*cc_show_rem_budget*IF(cc_delta&gt;0,cc_delta,0)</f>
        <v>13400</v>
      </c>
      <c r="O99" s="92">
        <f ca="1">cc_in_focus*cc_show_type*IF(cc_delta&lt;0, ABS(cc_delta),0)</f>
        <v>0</v>
      </c>
      <c r="P99" s="92">
        <f ca="1">NOT(cc_in_focus)*cc_show_type*MIN(cc_tracked, cc_budget)</f>
        <v>0</v>
      </c>
      <c r="Q99" s="92">
        <f ca="1">NOT(cc_in_focus)*cc_show_type*cc_show_rem_budget*IF(cc_delta&gt;0,cc_delta,0)</f>
        <v>0</v>
      </c>
      <c r="R99" s="92">
        <f ca="1">NOT(cc_in_focus)*cc_show_type*IF(cc_delta&lt;0, ABS(cc_delta),0)</f>
        <v>0</v>
      </c>
    </row>
    <row r="100" spans="4:18" x14ac:dyDescent="0.35">
      <c r="D100" s="120"/>
      <c r="E100" s="73" t="s">
        <v>11</v>
      </c>
      <c r="F100" s="73">
        <f t="shared" ref="F100" si="74">MONTH(D99)</f>
        <v>12</v>
      </c>
      <c r="G100" s="73">
        <f>IF(selected_period="Total Year", 1, IF(selected_period=cc_month_number,1,0))</f>
        <v>1</v>
      </c>
      <c r="H100" s="73">
        <f t="shared" ref="H100" si="75">1*$E$50</f>
        <v>1</v>
      </c>
      <c r="I100" s="73">
        <f t="shared" si="3"/>
        <v>1</v>
      </c>
      <c r="J100" s="92" cm="1">
        <f t="array" ref="J100">SUM(Tracking[Amount] * (Tracking[Type]=cc_type) * (YEAR(Tracking[Effective Date])=selected_year) * (MONTH(Tracking[Effective Date])=cc_month_number))</f>
        <v>0</v>
      </c>
      <c r="K100" s="92" cm="1">
        <f t="array" aca="1" ref="K100" ca="1">INDEX('Budget Planning'!$E:$AS, expenses_total_row,
    MATCH(DATE(selected_year, cc_month_number, 1),'Budget Planning'!$E$9:$AS$9,0) )</f>
        <v>8300</v>
      </c>
      <c r="L100" s="92">
        <f ca="1">cc_budget-cc_tracked</f>
        <v>8300</v>
      </c>
      <c r="M100" s="92">
        <f ca="1">cc_in_focus*cc_show_type*MIN(cc_tracked, cc_budget)</f>
        <v>0</v>
      </c>
      <c r="N100" s="92">
        <f ca="1">cc_in_focus*cc_show_type*cc_show_rem_budget*IF(cc_delta&gt;0,cc_delta,0)</f>
        <v>8300</v>
      </c>
      <c r="O100" s="92">
        <f ca="1">cc_in_focus*cc_show_type*IF(cc_delta&lt;0, ABS(cc_delta),0)</f>
        <v>0</v>
      </c>
      <c r="P100" s="92">
        <f ca="1">NOT(cc_in_focus)*cc_show_type*MIN(cc_tracked, cc_budget)</f>
        <v>0</v>
      </c>
      <c r="Q100" s="92">
        <f ca="1">NOT(cc_in_focus)*cc_show_type*cc_show_rem_budget*IF(cc_delta&gt;0,cc_delta,0)</f>
        <v>0</v>
      </c>
      <c r="R100" s="92">
        <f ca="1">NOT(cc_in_focus)*cc_show_type*IF(cc_delta&lt;0, ABS(cc_delta),0)</f>
        <v>0</v>
      </c>
    </row>
    <row r="101" spans="4:18" x14ac:dyDescent="0.35">
      <c r="D101" s="120"/>
      <c r="E101" s="73" t="s">
        <v>15</v>
      </c>
      <c r="F101" s="73">
        <f t="shared" ref="F101" si="76">MONTH(D99)</f>
        <v>12</v>
      </c>
      <c r="G101" s="73">
        <f>IF(selected_period="Total Year", 1, IF(selected_period=cc_month_number,1,0))</f>
        <v>1</v>
      </c>
      <c r="H101" s="73">
        <f t="shared" ref="H101" si="77">1*$E$51</f>
        <v>1</v>
      </c>
      <c r="I101" s="73">
        <f t="shared" si="3"/>
        <v>1</v>
      </c>
      <c r="J101" s="92" cm="1">
        <f t="array" ref="J101">SUM(Tracking[Amount] * (Tracking[Type]=cc_type) * (YEAR(Tracking[Effective Date])=selected_year) * (MONTH(Tracking[Effective Date])=cc_month_number))</f>
        <v>0</v>
      </c>
      <c r="K101" s="92" cm="1">
        <f t="array" aca="1" ref="K101" ca="1">INDEX('Budget Planning'!$E:$AS, savings_total_row,
    MATCH(DATE(selected_year, cc_month_number, 1),'Budget Planning'!$E$9:$AS$9,0) )</f>
        <v>4700</v>
      </c>
      <c r="L101" s="92">
        <f ca="1">cc_budget-cc_tracked</f>
        <v>4700</v>
      </c>
      <c r="M101" s="92">
        <f ca="1">cc_in_focus*cc_show_type*MIN(cc_tracked, cc_budget)</f>
        <v>0</v>
      </c>
      <c r="N101" s="92">
        <f ca="1">cc_in_focus*cc_show_type*cc_show_rem_budget*IF(cc_delta&gt;0,cc_delta,0)</f>
        <v>4700</v>
      </c>
      <c r="O101" s="92">
        <f ca="1">cc_in_focus*cc_show_type*IF(cc_delta&lt;0, ABS(cc_delta),0)</f>
        <v>0</v>
      </c>
      <c r="P101" s="92">
        <f ca="1">NOT(cc_in_focus)*cc_show_type*MIN(cc_tracked, cc_budget)</f>
        <v>0</v>
      </c>
      <c r="Q101" s="92">
        <f ca="1">NOT(cc_in_focus)*cc_show_type*cc_show_rem_budget*IF(cc_delta&gt;0,cc_delta,0)</f>
        <v>0</v>
      </c>
      <c r="R101" s="92">
        <f ca="1">NOT(cc_in_focus)*cc_show_type*IF(cc_delta&lt;0, ABS(cc_delta),0)</f>
        <v>0</v>
      </c>
    </row>
    <row r="102" spans="4:18" x14ac:dyDescent="0.35">
      <c r="D102" s="121"/>
      <c r="E102" s="91"/>
      <c r="F102" s="91"/>
      <c r="G102" s="91"/>
      <c r="H102" s="91"/>
      <c r="I102" s="91"/>
      <c r="J102" s="94"/>
      <c r="K102" s="94"/>
      <c r="L102" s="94"/>
      <c r="M102" s="91"/>
      <c r="N102" s="91"/>
      <c r="O102" s="91"/>
      <c r="P102" s="91"/>
      <c r="Q102" s="91"/>
      <c r="R102" s="91"/>
    </row>
  </sheetData>
  <mergeCells count="17">
    <mergeCell ref="D95:D98"/>
    <mergeCell ref="D99:D102"/>
    <mergeCell ref="D75:D78"/>
    <mergeCell ref="D79:D82"/>
    <mergeCell ref="D83:D86"/>
    <mergeCell ref="D87:D90"/>
    <mergeCell ref="D91:D94"/>
    <mergeCell ref="D55:D58"/>
    <mergeCell ref="D59:D62"/>
    <mergeCell ref="D63:D66"/>
    <mergeCell ref="D67:D70"/>
    <mergeCell ref="D71:D74"/>
    <mergeCell ref="B1:E3"/>
    <mergeCell ref="B6:F6"/>
    <mergeCell ref="B17:F17"/>
    <mergeCell ref="M53:O53"/>
    <mergeCell ref="P53:R53"/>
  </mergeCells>
  <phoneticPr fontId="24" type="noConversion"/>
  <pageMargins left="0.7" right="0.7" top="0.75" bottom="0.75" header="0.3" footer="0.3"/>
  <pageSetup paperSize="9"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B255-4678-4363-87E3-952521A4BFB5}">
  <dimension ref="B1:F21"/>
  <sheetViews>
    <sheetView showGridLines="0" topLeftCell="A4" workbookViewId="0">
      <selection activeCell="H31" sqref="H31"/>
    </sheetView>
  </sheetViews>
  <sheetFormatPr defaultRowHeight="14.5" x14ac:dyDescent="0.35"/>
  <cols>
    <col min="3" max="3" width="17.81640625" customWidth="1"/>
    <col min="5" max="5" width="15.1796875" bestFit="1" customWidth="1"/>
  </cols>
  <sheetData>
    <row r="1" spans="2:6" s="37" customFormat="1" ht="14.5" customHeight="1" x14ac:dyDescent="0.35">
      <c r="B1" s="41"/>
      <c r="C1" s="42"/>
      <c r="D1" s="42"/>
      <c r="E1" s="42"/>
    </row>
    <row r="2" spans="2:6" s="37" customFormat="1" ht="14.5" customHeight="1" x14ac:dyDescent="0.35">
      <c r="B2" s="42"/>
      <c r="C2" s="42"/>
      <c r="D2" s="42"/>
      <c r="E2" s="42"/>
    </row>
    <row r="3" spans="2:6" s="37" customFormat="1" ht="14.5" customHeight="1" x14ac:dyDescent="0.35">
      <c r="B3" s="42"/>
      <c r="C3" s="42"/>
      <c r="D3" s="42"/>
      <c r="E3" s="42"/>
    </row>
    <row r="4" spans="2:6" x14ac:dyDescent="0.35">
      <c r="F4" s="43"/>
    </row>
    <row r="7" spans="2:6" x14ac:dyDescent="0.35">
      <c r="C7" s="44" t="s">
        <v>47</v>
      </c>
      <c r="E7" s="44" t="s">
        <v>49</v>
      </c>
    </row>
    <row r="8" spans="2:6" x14ac:dyDescent="0.35">
      <c r="C8" s="45" t="s">
        <v>48</v>
      </c>
      <c r="E8" s="45" t="s">
        <v>50</v>
      </c>
    </row>
    <row r="9" spans="2:6" x14ac:dyDescent="0.35">
      <c r="C9" s="45">
        <f>starting_year</f>
        <v>2025</v>
      </c>
      <c r="E9" s="45" t="s">
        <v>51</v>
      </c>
    </row>
    <row r="10" spans="2:6" x14ac:dyDescent="0.35">
      <c r="C10" s="45">
        <f>C9+1</f>
        <v>2026</v>
      </c>
      <c r="E10" s="47">
        <v>36526</v>
      </c>
    </row>
    <row r="11" spans="2:6" x14ac:dyDescent="0.35">
      <c r="C11" s="45">
        <f t="shared" ref="C11:C18" si="0">C10+1</f>
        <v>2027</v>
      </c>
      <c r="E11" s="47">
        <v>36557</v>
      </c>
    </row>
    <row r="12" spans="2:6" x14ac:dyDescent="0.35">
      <c r="C12" s="45">
        <f t="shared" si="0"/>
        <v>2028</v>
      </c>
      <c r="E12" s="47">
        <v>36586</v>
      </c>
    </row>
    <row r="13" spans="2:6" x14ac:dyDescent="0.35">
      <c r="C13" s="45">
        <f t="shared" si="0"/>
        <v>2029</v>
      </c>
      <c r="E13" s="47">
        <v>36617</v>
      </c>
    </row>
    <row r="14" spans="2:6" x14ac:dyDescent="0.35">
      <c r="C14" s="45">
        <f t="shared" si="0"/>
        <v>2030</v>
      </c>
      <c r="E14" s="47">
        <v>36647</v>
      </c>
    </row>
    <row r="15" spans="2:6" x14ac:dyDescent="0.35">
      <c r="C15" s="45">
        <f t="shared" si="0"/>
        <v>2031</v>
      </c>
      <c r="E15" s="47">
        <v>36678</v>
      </c>
    </row>
    <row r="16" spans="2:6" x14ac:dyDescent="0.35">
      <c r="C16" s="45">
        <f t="shared" si="0"/>
        <v>2032</v>
      </c>
      <c r="E16" s="47">
        <v>36708</v>
      </c>
    </row>
    <row r="17" spans="3:5" x14ac:dyDescent="0.35">
      <c r="C17" s="45">
        <f t="shared" si="0"/>
        <v>2033</v>
      </c>
      <c r="E17" s="47">
        <v>36739</v>
      </c>
    </row>
    <row r="18" spans="3:5" x14ac:dyDescent="0.35">
      <c r="C18" s="46">
        <f t="shared" si="0"/>
        <v>2034</v>
      </c>
      <c r="E18" s="47">
        <v>36770</v>
      </c>
    </row>
    <row r="19" spans="3:5" x14ac:dyDescent="0.35">
      <c r="E19" s="47">
        <v>36800</v>
      </c>
    </row>
    <row r="20" spans="3:5" x14ac:dyDescent="0.35">
      <c r="E20" s="47">
        <v>36831</v>
      </c>
    </row>
    <row r="21" spans="3:5" x14ac:dyDescent="0.35">
      <c r="E21" s="48">
        <v>36861</v>
      </c>
    </row>
  </sheetData>
  <pageMargins left="0.7" right="0.7" top="0.75" bottom="0.75" header="0.3" footer="0.3"/>
  <pageSetup paperSize="9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39</vt:i4>
      </vt:variant>
    </vt:vector>
  </HeadingPairs>
  <TitlesOfParts>
    <vt:vector size="45" baseType="lpstr">
      <vt:lpstr>Settings</vt:lpstr>
      <vt:lpstr>Budget Planning</vt:lpstr>
      <vt:lpstr>Budget Tracking</vt:lpstr>
      <vt:lpstr>Budget dashboard</vt:lpstr>
      <vt:lpstr>Calculations</vt:lpstr>
      <vt:lpstr>Dropdown Data</vt:lpstr>
      <vt:lpstr>'Budget dashboard'!budget</vt:lpstr>
      <vt:lpstr>'Budget dashboard'!budget_range</vt:lpstr>
      <vt:lpstr>'Budget dashboard'!budget_rank</vt:lpstr>
      <vt:lpstr>Calculations!cc_budget</vt:lpstr>
      <vt:lpstr>Calculations!cc_delta</vt:lpstr>
      <vt:lpstr>Calculations!cc_in_focus</vt:lpstr>
      <vt:lpstr>Calculations!cc_month_number</vt:lpstr>
      <vt:lpstr>Calculations!cc_show_rem_budget</vt:lpstr>
      <vt:lpstr>Calculations!cc_show_type</vt:lpstr>
      <vt:lpstr>Calculations!cc_tracked</vt:lpstr>
      <vt:lpstr>Calculations!cc_type</vt:lpstr>
      <vt:lpstr>'Budget dashboard'!comb_rank</vt:lpstr>
      <vt:lpstr>'Budget dashboard'!comb_rank_norm</vt:lpstr>
      <vt:lpstr>'Budget dashboard'!comb_rank_norm_run_range</vt:lpstr>
      <vt:lpstr>'Budget dashboard'!comb_rank_range</vt:lpstr>
      <vt:lpstr>'Budget dashboard'!comb_rank_unique</vt:lpstr>
      <vt:lpstr>'Budget dashboard'!header_row_id</vt:lpstr>
      <vt:lpstr>'Budget dashboard'!is_cat</vt:lpstr>
      <vt:lpstr>'Budget dashboard'!is_empty</vt:lpstr>
      <vt:lpstr>'Budget dashboard'!is_header</vt:lpstr>
      <vt:lpstr>'Budget dashboard'!is_total</vt:lpstr>
      <vt:lpstr>'Budget dashboard'!item</vt:lpstr>
      <vt:lpstr>'Budget dashboard'!out_budget</vt:lpstr>
      <vt:lpstr>'Budget dashboard'!out_percentage_completed</vt:lpstr>
      <vt:lpstr>'Budget dashboard'!out_tracked</vt:lpstr>
      <vt:lpstr>'Budget dashboard'!row_id</vt:lpstr>
      <vt:lpstr>savings_rate_calculation_type</vt:lpstr>
      <vt:lpstr>selected_period</vt:lpstr>
      <vt:lpstr>selected_period_display</vt:lpstr>
      <vt:lpstr>selected_year</vt:lpstr>
      <vt:lpstr>Shift_late_income_status</vt:lpstr>
      <vt:lpstr>Shift_late_starting_day</vt:lpstr>
      <vt:lpstr>'Budget dashboard'!sort_max_row</vt:lpstr>
      <vt:lpstr>'Budget dashboard'!sort_min_row</vt:lpstr>
      <vt:lpstr>starting_year</vt:lpstr>
      <vt:lpstr>'Budget dashboard'!tracked</vt:lpstr>
      <vt:lpstr>'Budget dashboard'!tracked_range</vt:lpstr>
      <vt:lpstr>'Budget dashboard'!tracked_rank</vt:lpstr>
      <vt:lpstr>'Budget dashboard'!type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2026-05-11T09:18:26Z</dcterms:created>
  <dcterms:modified xsi:type="dcterms:W3CDTF">2026-05-11T09:24:51Z</dcterms:modified>
</cp:coreProperties>
</file>